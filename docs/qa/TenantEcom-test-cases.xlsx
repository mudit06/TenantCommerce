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 name="Vendor CMS" sheetId="2" state="visible" r:id="rId2"/>
    <sheet name="Super Admin" sheetId="3" state="visible" r:id="rId3"/>
    <sheet name="End-to-End Workflows" sheetId="4" state="visible" r:id="rId4"/>
    <sheet name="Defect Log" sheetId="5" state="visible" r:id="rId5"/>
    <sheet name="Test Data &amp; Preconditions" sheetId="6" state="visible" r:id="rId6"/>
  </sheets>
  <definedNames>
    <definedName name="_xlnm._FilterDatabase" localSheetId="1" hidden="1">'Vendor CMS'!$A$1:$U$198</definedName>
    <definedName name="_xlnm._FilterDatabase" localSheetId="2" hidden="1">'Super Admin'!$A$1:$U$106</definedName>
    <definedName name="_xlnm._FilterDatabase" localSheetId="3" hidden="1">'End-to-End Workflows'!$A$1:$U$53</definedName>
    <definedName name="_xlnm._FilterDatabase" localSheetId="4" hidden="1">'Defect Log'!$A$1:$M$204</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sz val="14"/>
    </font>
    <font>
      <i val="1"/>
      <color rgb="006B7280"/>
    </font>
    <font>
      <b val="1"/>
      <color rgb="00FFFFFF"/>
    </font>
    <font>
      <b val="1"/>
    </font>
    <font>
      <b val="1"/>
      <sz val="12"/>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wrapText="1"/>
    </xf>
    <xf numFmtId="0" fontId="0" fillId="0" borderId="1" pivotButton="0" quotePrefix="0" xfId="0"/>
    <xf numFmtId="164" fontId="0" fillId="0" borderId="1" pivotButton="0" quotePrefix="0" xfId="0"/>
    <xf numFmtId="0" fontId="4" fillId="0" borderId="1" pivotButton="0" quotePrefix="0" xfId="0"/>
    <xf numFmtId="0" fontId="5" fillId="0" borderId="0" pivotButton="0" quotePrefix="0" xfId="0"/>
    <xf numFmtId="0" fontId="3" fillId="2" borderId="1" pivotButton="0" quotePrefix="0" xfId="0"/>
    <xf numFmtId="9" fontId="0" fillId="0" borderId="1"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dxfs count="6">
    <dxf>
      <fill>
        <patternFill patternType="solid">
          <fgColor rgb="00FFC7CE"/>
        </patternFill>
      </fill>
    </dxf>
    <dxf>
      <fill>
        <patternFill patternType="solid">
          <fgColor rgb="00C6EFCE"/>
        </patternFill>
      </fill>
    </dxf>
    <dxf>
      <fill>
        <patternFill patternType="solid">
          <fgColor rgb="00FFEB9C"/>
        </patternFill>
      </fill>
    </dxf>
    <dxf>
      <fill>
        <patternFill patternType="solid">
          <fgColor rgb="00E5E7EB"/>
        </patternFill>
      </fill>
    </dxf>
    <dxf>
      <fill>
        <patternFill patternType="solid">
          <fgColor rgb="00DBEAFE"/>
        </patternFill>
      </fill>
    </dxf>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48" customWidth="1" min="10" max="10"/>
    <col width="16" customWidth="1" min="11" max="11"/>
  </cols>
  <sheetData>
    <row r="1">
      <c r="A1" s="1" t="inlineStr">
        <is>
          <t>TenantEcom: manual and regression test summary</t>
        </is>
      </c>
    </row>
    <row r="2">
      <c r="A2" s="2" t="inlineStr">
        <is>
          <t>Generated 2026-10-13 from docs/qa/tools. Figures recalculate as Status cells change.</t>
        </is>
      </c>
    </row>
    <row r="4">
      <c r="A4" s="3" t="inlineStr">
        <is>
          <t>Portal</t>
        </is>
      </c>
      <c r="B4" s="3" t="inlineStr">
        <is>
          <t>Total cases</t>
        </is>
      </c>
      <c r="C4" s="3" t="inlineStr">
        <is>
          <t>Executed (Pass + Fail)</t>
        </is>
      </c>
      <c r="D4" s="3" t="inlineStr">
        <is>
          <t>Passed</t>
        </is>
      </c>
      <c r="E4" s="3" t="inlineStr">
        <is>
          <t>Failed</t>
        </is>
      </c>
      <c r="F4" s="3" t="inlineStr">
        <is>
          <t>Blocked</t>
        </is>
      </c>
      <c r="G4" s="3" t="inlineStr">
        <is>
          <t>Not Run</t>
        </is>
      </c>
      <c r="H4" s="3" t="inlineStr">
        <is>
          <t>Not Applicable</t>
        </is>
      </c>
      <c r="I4" s="3" t="inlineStr">
        <is>
          <t>Pass %</t>
        </is>
      </c>
      <c r="J4" s="3" t="inlineStr">
        <is>
          <t>Critical cases</t>
        </is>
      </c>
      <c r="K4" s="3" t="inlineStr">
        <is>
          <t>Smoke cases</t>
        </is>
      </c>
    </row>
    <row r="5">
      <c r="A5" s="4" t="inlineStr">
        <is>
          <t>Super Admin</t>
        </is>
      </c>
      <c r="B5" s="4">
        <f>COUNTA('Super Admin'!A:A)-1</f>
        <v/>
      </c>
      <c r="C5" s="4">
        <f>D5+E5</f>
        <v/>
      </c>
      <c r="D5" s="4">
        <f>COUNTIF('Super Admin'!L:L,"Pass")</f>
        <v/>
      </c>
      <c r="E5" s="4">
        <f>COUNTIF('Super Admin'!L:L,"Fail")</f>
        <v/>
      </c>
      <c r="F5" s="4">
        <f>COUNTIF('Super Admin'!L:L,"Blocked")</f>
        <v/>
      </c>
      <c r="G5" s="4">
        <f>COUNTIF('Super Admin'!L:L,"Not Run")</f>
        <v/>
      </c>
      <c r="H5" s="4">
        <f>COUNTIF('Super Admin'!L:L,"Not Applicable")</f>
        <v/>
      </c>
      <c r="I5" s="5">
        <f>IF(C5=0,0,D5/C5)</f>
        <v/>
      </c>
      <c r="J5" s="4">
        <f>COUNTIF('Super Admin'!M:M,"Critical")</f>
        <v/>
      </c>
      <c r="K5" s="4">
        <f>COUNTIF('Super Admin'!T:T,"Yes")</f>
        <v/>
      </c>
    </row>
    <row r="6">
      <c r="A6" s="4" t="inlineStr">
        <is>
          <t>Vendor CMS</t>
        </is>
      </c>
      <c r="B6" s="4">
        <f>COUNTA('Vendor CMS'!A:A)-1</f>
        <v/>
      </c>
      <c r="C6" s="4">
        <f>D6+E6</f>
        <v/>
      </c>
      <c r="D6" s="4">
        <f>COUNTIF('Vendor CMS'!L:L,"Pass")</f>
        <v/>
      </c>
      <c r="E6" s="4">
        <f>COUNTIF('Vendor CMS'!L:L,"Fail")</f>
        <v/>
      </c>
      <c r="F6" s="4">
        <f>COUNTIF('Vendor CMS'!L:L,"Blocked")</f>
        <v/>
      </c>
      <c r="G6" s="4">
        <f>COUNTIF('Vendor CMS'!L:L,"Not Run")</f>
        <v/>
      </c>
      <c r="H6" s="4">
        <f>COUNTIF('Vendor CMS'!L:L,"Not Applicable")</f>
        <v/>
      </c>
      <c r="I6" s="5">
        <f>IF(C6=0,0,D6/C6)</f>
        <v/>
      </c>
      <c r="J6" s="4">
        <f>COUNTIF('Vendor CMS'!M:M,"Critical")</f>
        <v/>
      </c>
      <c r="K6" s="4">
        <f>COUNTIF('Vendor CMS'!T:T,"Yes")</f>
        <v/>
      </c>
    </row>
    <row r="7">
      <c r="A7" s="4" t="inlineStr">
        <is>
          <t>End-to-End Workflows</t>
        </is>
      </c>
      <c r="B7" s="4">
        <f>COUNTA('End-to-End Workflows'!A:A)-1</f>
        <v/>
      </c>
      <c r="C7" s="4">
        <f>D7+E7</f>
        <v/>
      </c>
      <c r="D7" s="4">
        <f>COUNTIF('End-to-End Workflows'!L:L,"Pass")</f>
        <v/>
      </c>
      <c r="E7" s="4">
        <f>COUNTIF('End-to-End Workflows'!L:L,"Fail")</f>
        <v/>
      </c>
      <c r="F7" s="4">
        <f>COUNTIF('End-to-End Workflows'!L:L,"Blocked")</f>
        <v/>
      </c>
      <c r="G7" s="4">
        <f>COUNTIF('End-to-End Workflows'!L:L,"Not Run")</f>
        <v/>
      </c>
      <c r="H7" s="4">
        <f>COUNTIF('End-to-End Workflows'!L:L,"Not Applicable")</f>
        <v/>
      </c>
      <c r="I7" s="5">
        <f>IF(C7=0,0,D7/C7)</f>
        <v/>
      </c>
      <c r="J7" s="4">
        <f>COUNTIF('End-to-End Workflows'!M:M,"Critical")</f>
        <v/>
      </c>
      <c r="K7" s="4">
        <f>COUNTIF('End-to-End Workflows'!T:T,"Yes")</f>
        <v/>
      </c>
    </row>
    <row r="8">
      <c r="A8" s="6" t="inlineStr">
        <is>
          <t>All portals</t>
        </is>
      </c>
      <c r="B8" s="6">
        <f>SUM(B5:B7)</f>
        <v/>
      </c>
      <c r="C8" s="6">
        <f>SUM(C5:C7)</f>
        <v/>
      </c>
      <c r="D8" s="6">
        <f>SUM(D5:D7)</f>
        <v/>
      </c>
      <c r="E8" s="6">
        <f>SUM(E5:E7)</f>
        <v/>
      </c>
      <c r="F8" s="6">
        <f>SUM(F5:F7)</f>
        <v/>
      </c>
      <c r="G8" s="6">
        <f>SUM(G5:G7)</f>
        <v/>
      </c>
      <c r="H8" s="6">
        <f>SUM(H5:H7)</f>
        <v/>
      </c>
      <c r="I8" s="5">
        <f>IF(C8=0,0,D8/C8)</f>
        <v/>
      </c>
      <c r="J8" s="6">
        <f>SUM(J5:J7)</f>
        <v/>
      </c>
      <c r="K8" s="6">
        <f>SUM(K5:K7)</f>
        <v/>
      </c>
    </row>
    <row r="10">
      <c r="A10" s="7" t="inlineStr">
        <is>
          <t>Coverage by module</t>
        </is>
      </c>
    </row>
    <row r="11">
      <c r="A11" s="8" t="inlineStr">
        <is>
          <t>Module</t>
        </is>
      </c>
      <c r="B11" s="8" t="inlineStr">
        <is>
          <t>Portal</t>
        </is>
      </c>
      <c r="C11" s="8" t="inlineStr">
        <is>
          <t>Cases</t>
        </is>
      </c>
      <c r="D11" s="8" t="inlineStr">
        <is>
          <t>Passed</t>
        </is>
      </c>
      <c r="E11" s="8" t="inlineStr">
        <is>
          <t>Failed</t>
        </is>
      </c>
      <c r="F11" s="8" t="inlineStr">
        <is>
          <t>Blocked</t>
        </is>
      </c>
      <c r="G11" s="8" t="inlineStr">
        <is>
          <t>Not Run</t>
        </is>
      </c>
      <c r="H11" s="8" t="inlineStr">
        <is>
          <t>Pass %</t>
        </is>
      </c>
      <c r="I11" s="8" t="inlineStr">
        <is>
          <t>Critical</t>
        </is>
      </c>
      <c r="J11" s="8" t="inlineStr">
        <is>
          <t>Regression script</t>
        </is>
      </c>
    </row>
    <row r="12">
      <c r="A12" s="4" t="inlineStr">
        <is>
          <t>SA-01 · Sign in and two-step verification</t>
        </is>
      </c>
      <c r="B12" s="4" t="inlineStr">
        <is>
          <t>Super Admin</t>
        </is>
      </c>
      <c r="C12" s="4">
        <f>COUNTIF('Super Admin'!C:C,A12)</f>
        <v/>
      </c>
      <c r="D12" s="4">
        <f>COUNTIFS('Super Admin'!C:C,A12,'Super Admin'!L:L,"Pass")</f>
        <v/>
      </c>
      <c r="E12" s="4">
        <f>COUNTIFS('Super Admin'!C:C,A12,'Super Admin'!L:L,"Fail")</f>
        <v/>
      </c>
      <c r="F12" s="4">
        <f>COUNTIFS('Super Admin'!C:C,A12,'Super Admin'!L:L,"Blocked")</f>
        <v/>
      </c>
      <c r="G12" s="4">
        <f>COUNTIFS('Super Admin'!C:C,A12,'Super Admin'!L:L,"Not Run")</f>
        <v/>
      </c>
      <c r="H12" s="9">
        <f>IF((D12+E12)=0,0,D12/(D12+E12))</f>
        <v/>
      </c>
      <c r="I12" s="4">
        <f>COUNTIFS('Super Admin'!C:C,A12,'Super Admin'!M:M,"Critical")</f>
        <v/>
      </c>
      <c r="J12" s="4" t="inlineStr">
        <is>
          <t>docs/qa/regression/super-admin/SA-01-sign-in.md</t>
        </is>
      </c>
    </row>
    <row r="13">
      <c r="A13" s="4" t="inlineStr">
        <is>
          <t>SA-02 · Platform dashboard</t>
        </is>
      </c>
      <c r="B13" s="4" t="inlineStr">
        <is>
          <t>Super Admin</t>
        </is>
      </c>
      <c r="C13" s="4">
        <f>COUNTIF('Super Admin'!C:C,A13)</f>
        <v/>
      </c>
      <c r="D13" s="4">
        <f>COUNTIFS('Super Admin'!C:C,A13,'Super Admin'!L:L,"Pass")</f>
        <v/>
      </c>
      <c r="E13" s="4">
        <f>COUNTIFS('Super Admin'!C:C,A13,'Super Admin'!L:L,"Fail")</f>
        <v/>
      </c>
      <c r="F13" s="4">
        <f>COUNTIFS('Super Admin'!C:C,A13,'Super Admin'!L:L,"Blocked")</f>
        <v/>
      </c>
      <c r="G13" s="4">
        <f>COUNTIFS('Super Admin'!C:C,A13,'Super Admin'!L:L,"Not Run")</f>
        <v/>
      </c>
      <c r="H13" s="9">
        <f>IF((D13+E13)=0,0,D13/(D13+E13))</f>
        <v/>
      </c>
      <c r="I13" s="4">
        <f>COUNTIFS('Super Admin'!C:C,A13,'Super Admin'!M:M,"Critical")</f>
        <v/>
      </c>
      <c r="J13" s="4" t="inlineStr">
        <is>
          <t>docs/qa/regression/super-admin/SA-02-dashboard.md</t>
        </is>
      </c>
    </row>
    <row r="14">
      <c r="A14" s="4" t="inlineStr">
        <is>
          <t>SA-03 · All vendors</t>
        </is>
      </c>
      <c r="B14" s="4" t="inlineStr">
        <is>
          <t>Super Admin</t>
        </is>
      </c>
      <c r="C14" s="4">
        <f>COUNTIF('Super Admin'!C:C,A14)</f>
        <v/>
      </c>
      <c r="D14" s="4">
        <f>COUNTIFS('Super Admin'!C:C,A14,'Super Admin'!L:L,"Pass")</f>
        <v/>
      </c>
      <c r="E14" s="4">
        <f>COUNTIFS('Super Admin'!C:C,A14,'Super Admin'!L:L,"Fail")</f>
        <v/>
      </c>
      <c r="F14" s="4">
        <f>COUNTIFS('Super Admin'!C:C,A14,'Super Admin'!L:L,"Blocked")</f>
        <v/>
      </c>
      <c r="G14" s="4">
        <f>COUNTIFS('Super Admin'!C:C,A14,'Super Admin'!L:L,"Not Run")</f>
        <v/>
      </c>
      <c r="H14" s="9">
        <f>IF((D14+E14)=0,0,D14/(D14+E14))</f>
        <v/>
      </c>
      <c r="I14" s="4">
        <f>COUNTIFS('Super Admin'!C:C,A14,'Super Admin'!M:M,"Critical")</f>
        <v/>
      </c>
      <c r="J14" s="4" t="inlineStr">
        <is>
          <t>docs/qa/regression/super-admin/SA-03-all-vendors.md</t>
        </is>
      </c>
    </row>
    <row r="15">
      <c r="A15" s="4" t="inlineStr">
        <is>
          <t>SA-04 · New vendor (onboarding)</t>
        </is>
      </c>
      <c r="B15" s="4" t="inlineStr">
        <is>
          <t>Super Admin</t>
        </is>
      </c>
      <c r="C15" s="4">
        <f>COUNTIF('Super Admin'!C:C,A15)</f>
        <v/>
      </c>
      <c r="D15" s="4">
        <f>COUNTIFS('Super Admin'!C:C,A15,'Super Admin'!L:L,"Pass")</f>
        <v/>
      </c>
      <c r="E15" s="4">
        <f>COUNTIFS('Super Admin'!C:C,A15,'Super Admin'!L:L,"Fail")</f>
        <v/>
      </c>
      <c r="F15" s="4">
        <f>COUNTIFS('Super Admin'!C:C,A15,'Super Admin'!L:L,"Blocked")</f>
        <v/>
      </c>
      <c r="G15" s="4">
        <f>COUNTIFS('Super Admin'!C:C,A15,'Super Admin'!L:L,"Not Run")</f>
        <v/>
      </c>
      <c r="H15" s="9">
        <f>IF((D15+E15)=0,0,D15/(D15+E15))</f>
        <v/>
      </c>
      <c r="I15" s="4">
        <f>COUNTIFS('Super Admin'!C:C,A15,'Super Admin'!M:M,"Critical")</f>
        <v/>
      </c>
      <c r="J15" s="4" t="inlineStr">
        <is>
          <t>docs/qa/regression/super-admin/SA-04-new-vendor.md</t>
        </is>
      </c>
    </row>
    <row r="16">
      <c r="A16" s="4" t="inlineStr">
        <is>
          <t>SA-05 · Vendor overview and store status</t>
        </is>
      </c>
      <c r="B16" s="4" t="inlineStr">
        <is>
          <t>Super Admin</t>
        </is>
      </c>
      <c r="C16" s="4">
        <f>COUNTIF('Super Admin'!C:C,A16)</f>
        <v/>
      </c>
      <c r="D16" s="4">
        <f>COUNTIFS('Super Admin'!C:C,A16,'Super Admin'!L:L,"Pass")</f>
        <v/>
      </c>
      <c r="E16" s="4">
        <f>COUNTIFS('Super Admin'!C:C,A16,'Super Admin'!L:L,"Fail")</f>
        <v/>
      </c>
      <c r="F16" s="4">
        <f>COUNTIFS('Super Admin'!C:C,A16,'Super Admin'!L:L,"Blocked")</f>
        <v/>
      </c>
      <c r="G16" s="4">
        <f>COUNTIFS('Super Admin'!C:C,A16,'Super Admin'!L:L,"Not Run")</f>
        <v/>
      </c>
      <c r="H16" s="9">
        <f>IF((D16+E16)=0,0,D16/(D16+E16))</f>
        <v/>
      </c>
      <c r="I16" s="4">
        <f>COUNTIFS('Super Admin'!C:C,A16,'Super Admin'!M:M,"Critical")</f>
        <v/>
      </c>
      <c r="J16" s="4" t="inlineStr">
        <is>
          <t>docs/qa/regression/super-admin/SA-05-vendor-overview.md</t>
        </is>
      </c>
    </row>
    <row r="17">
      <c r="A17" s="4" t="inlineStr">
        <is>
          <t>SA-06 · Store sessions (Manage store, View as support)</t>
        </is>
      </c>
      <c r="B17" s="4" t="inlineStr">
        <is>
          <t>Super Admin</t>
        </is>
      </c>
      <c r="C17" s="4">
        <f>COUNTIF('Super Admin'!C:C,A17)</f>
        <v/>
      </c>
      <c r="D17" s="4">
        <f>COUNTIFS('Super Admin'!C:C,A17,'Super Admin'!L:L,"Pass")</f>
        <v/>
      </c>
      <c r="E17" s="4">
        <f>COUNTIFS('Super Admin'!C:C,A17,'Super Admin'!L:L,"Fail")</f>
        <v/>
      </c>
      <c r="F17" s="4">
        <f>COUNTIFS('Super Admin'!C:C,A17,'Super Admin'!L:L,"Blocked")</f>
        <v/>
      </c>
      <c r="G17" s="4">
        <f>COUNTIFS('Super Admin'!C:C,A17,'Super Admin'!L:L,"Not Run")</f>
        <v/>
      </c>
      <c r="H17" s="9">
        <f>IF((D17+E17)=0,0,D17/(D17+E17))</f>
        <v/>
      </c>
      <c r="I17" s="4">
        <f>COUNTIFS('Super Admin'!C:C,A17,'Super Admin'!M:M,"Critical")</f>
        <v/>
      </c>
      <c r="J17" s="4" t="inlineStr">
        <is>
          <t>docs/qa/regression/super-admin/SA-06-store-sessions.md</t>
        </is>
      </c>
    </row>
    <row r="18">
      <c r="A18" s="4" t="inlineStr">
        <is>
          <t>SA-07 · Vendor features</t>
        </is>
      </c>
      <c r="B18" s="4" t="inlineStr">
        <is>
          <t>Super Admin</t>
        </is>
      </c>
      <c r="C18" s="4">
        <f>COUNTIF('Super Admin'!C:C,A18)</f>
        <v/>
      </c>
      <c r="D18" s="4">
        <f>COUNTIFS('Super Admin'!C:C,A18,'Super Admin'!L:L,"Pass")</f>
        <v/>
      </c>
      <c r="E18" s="4">
        <f>COUNTIFS('Super Admin'!C:C,A18,'Super Admin'!L:L,"Fail")</f>
        <v/>
      </c>
      <c r="F18" s="4">
        <f>COUNTIFS('Super Admin'!C:C,A18,'Super Admin'!L:L,"Blocked")</f>
        <v/>
      </c>
      <c r="G18" s="4">
        <f>COUNTIFS('Super Admin'!C:C,A18,'Super Admin'!L:L,"Not Run")</f>
        <v/>
      </c>
      <c r="H18" s="9">
        <f>IF((D18+E18)=0,0,D18/(D18+E18))</f>
        <v/>
      </c>
      <c r="I18" s="4">
        <f>COUNTIFS('Super Admin'!C:C,A18,'Super Admin'!M:M,"Critical")</f>
        <v/>
      </c>
      <c r="J18" s="4" t="inlineStr">
        <is>
          <t>docs/qa/regression/super-admin/SA-07-vendor-features.md</t>
        </is>
      </c>
    </row>
    <row r="19">
      <c r="A19" s="4" t="inlineStr">
        <is>
          <t>SA-08 · Vendor connectors</t>
        </is>
      </c>
      <c r="B19" s="4" t="inlineStr">
        <is>
          <t>Super Admin</t>
        </is>
      </c>
      <c r="C19" s="4">
        <f>COUNTIF('Super Admin'!C:C,A19)</f>
        <v/>
      </c>
      <c r="D19" s="4">
        <f>COUNTIFS('Super Admin'!C:C,A19,'Super Admin'!L:L,"Pass")</f>
        <v/>
      </c>
      <c r="E19" s="4">
        <f>COUNTIFS('Super Admin'!C:C,A19,'Super Admin'!L:L,"Fail")</f>
        <v/>
      </c>
      <c r="F19" s="4">
        <f>COUNTIFS('Super Admin'!C:C,A19,'Super Admin'!L:L,"Blocked")</f>
        <v/>
      </c>
      <c r="G19" s="4">
        <f>COUNTIFS('Super Admin'!C:C,A19,'Super Admin'!L:L,"Not Run")</f>
        <v/>
      </c>
      <c r="H19" s="9">
        <f>IF((D19+E19)=0,0,D19/(D19+E19))</f>
        <v/>
      </c>
      <c r="I19" s="4">
        <f>COUNTIFS('Super Admin'!C:C,A19,'Super Admin'!M:M,"Critical")</f>
        <v/>
      </c>
      <c r="J19" s="4" t="inlineStr">
        <is>
          <t>docs/qa/regression/super-admin/SA-08-vendor-connectors.md</t>
        </is>
      </c>
    </row>
    <row r="20">
      <c r="A20" s="4" t="inlineStr">
        <is>
          <t>SA-09 · Vendor domains</t>
        </is>
      </c>
      <c r="B20" s="4" t="inlineStr">
        <is>
          <t>Super Admin</t>
        </is>
      </c>
      <c r="C20" s="4">
        <f>COUNTIF('Super Admin'!C:C,A20)</f>
        <v/>
      </c>
      <c r="D20" s="4">
        <f>COUNTIFS('Super Admin'!C:C,A20,'Super Admin'!L:L,"Pass")</f>
        <v/>
      </c>
      <c r="E20" s="4">
        <f>COUNTIFS('Super Admin'!C:C,A20,'Super Admin'!L:L,"Fail")</f>
        <v/>
      </c>
      <c r="F20" s="4">
        <f>COUNTIFS('Super Admin'!C:C,A20,'Super Admin'!L:L,"Blocked")</f>
        <v/>
      </c>
      <c r="G20" s="4">
        <f>COUNTIFS('Super Admin'!C:C,A20,'Super Admin'!L:L,"Not Run")</f>
        <v/>
      </c>
      <c r="H20" s="9">
        <f>IF((D20+E20)=0,0,D20/(D20+E20))</f>
        <v/>
      </c>
      <c r="I20" s="4">
        <f>COUNTIFS('Super Admin'!C:C,A20,'Super Admin'!M:M,"Critical")</f>
        <v/>
      </c>
      <c r="J20" s="4" t="inlineStr">
        <is>
          <t>docs/qa/regression/super-admin/SA-09-vendor-domains.md</t>
        </is>
      </c>
    </row>
    <row r="21">
      <c r="A21" s="4" t="inlineStr">
        <is>
          <t>SA-10 · Vendor billing</t>
        </is>
      </c>
      <c r="B21" s="4" t="inlineStr">
        <is>
          <t>Super Admin</t>
        </is>
      </c>
      <c r="C21" s="4">
        <f>COUNTIF('Super Admin'!C:C,A21)</f>
        <v/>
      </c>
      <c r="D21" s="4">
        <f>COUNTIFS('Super Admin'!C:C,A21,'Super Admin'!L:L,"Pass")</f>
        <v/>
      </c>
      <c r="E21" s="4">
        <f>COUNTIFS('Super Admin'!C:C,A21,'Super Admin'!L:L,"Fail")</f>
        <v/>
      </c>
      <c r="F21" s="4">
        <f>COUNTIFS('Super Admin'!C:C,A21,'Super Admin'!L:L,"Blocked")</f>
        <v/>
      </c>
      <c r="G21" s="4">
        <f>COUNTIFS('Super Admin'!C:C,A21,'Super Admin'!L:L,"Not Run")</f>
        <v/>
      </c>
      <c r="H21" s="9">
        <f>IF((D21+E21)=0,0,D21/(D21+E21))</f>
        <v/>
      </c>
      <c r="I21" s="4">
        <f>COUNTIFS('Super Admin'!C:C,A21,'Super Admin'!M:M,"Critical")</f>
        <v/>
      </c>
      <c r="J21" s="4" t="inlineStr">
        <is>
          <t>docs/qa/regression/super-admin/SA-10-vendor-billing.md</t>
        </is>
      </c>
    </row>
    <row r="22">
      <c r="A22" s="4" t="inlineStr">
        <is>
          <t>SA-11 · Vendor staff</t>
        </is>
      </c>
      <c r="B22" s="4" t="inlineStr">
        <is>
          <t>Super Admin</t>
        </is>
      </c>
      <c r="C22" s="4">
        <f>COUNTIF('Super Admin'!C:C,A22)</f>
        <v/>
      </c>
      <c r="D22" s="4">
        <f>COUNTIFS('Super Admin'!C:C,A22,'Super Admin'!L:L,"Pass")</f>
        <v/>
      </c>
      <c r="E22" s="4">
        <f>COUNTIFS('Super Admin'!C:C,A22,'Super Admin'!L:L,"Fail")</f>
        <v/>
      </c>
      <c r="F22" s="4">
        <f>COUNTIFS('Super Admin'!C:C,A22,'Super Admin'!L:L,"Blocked")</f>
        <v/>
      </c>
      <c r="G22" s="4">
        <f>COUNTIFS('Super Admin'!C:C,A22,'Super Admin'!L:L,"Not Run")</f>
        <v/>
      </c>
      <c r="H22" s="9">
        <f>IF((D22+E22)=0,0,D22/(D22+E22))</f>
        <v/>
      </c>
      <c r="I22" s="4">
        <f>COUNTIFS('Super Admin'!C:C,A22,'Super Admin'!M:M,"Critical")</f>
        <v/>
      </c>
      <c r="J22" s="4" t="inlineStr">
        <is>
          <t>docs/qa/regression/super-admin/SA-11-vendor-staff.md</t>
        </is>
      </c>
    </row>
    <row r="23">
      <c r="A23" s="4" t="inlineStr">
        <is>
          <t>SA-12 · Plans</t>
        </is>
      </c>
      <c r="B23" s="4" t="inlineStr">
        <is>
          <t>Super Admin</t>
        </is>
      </c>
      <c r="C23" s="4">
        <f>COUNTIF('Super Admin'!C:C,A23)</f>
        <v/>
      </c>
      <c r="D23" s="4">
        <f>COUNTIFS('Super Admin'!C:C,A23,'Super Admin'!L:L,"Pass")</f>
        <v/>
      </c>
      <c r="E23" s="4">
        <f>COUNTIFS('Super Admin'!C:C,A23,'Super Admin'!L:L,"Fail")</f>
        <v/>
      </c>
      <c r="F23" s="4">
        <f>COUNTIFS('Super Admin'!C:C,A23,'Super Admin'!L:L,"Blocked")</f>
        <v/>
      </c>
      <c r="G23" s="4">
        <f>COUNTIFS('Super Admin'!C:C,A23,'Super Admin'!L:L,"Not Run")</f>
        <v/>
      </c>
      <c r="H23" s="9">
        <f>IF((D23+E23)=0,0,D23/(D23+E23))</f>
        <v/>
      </c>
      <c r="I23" s="4">
        <f>COUNTIFS('Super Admin'!C:C,A23,'Super Admin'!M:M,"Critical")</f>
        <v/>
      </c>
      <c r="J23" s="4" t="inlineStr">
        <is>
          <t>docs/qa/regression/super-admin/SA-12-plans.md</t>
        </is>
      </c>
    </row>
    <row r="24">
      <c r="A24" s="4" t="inlineStr">
        <is>
          <t>SA-13 · Subscriptions</t>
        </is>
      </c>
      <c r="B24" s="4" t="inlineStr">
        <is>
          <t>Super Admin</t>
        </is>
      </c>
      <c r="C24" s="4">
        <f>COUNTIF('Super Admin'!C:C,A24)</f>
        <v/>
      </c>
      <c r="D24" s="4">
        <f>COUNTIFS('Super Admin'!C:C,A24,'Super Admin'!L:L,"Pass")</f>
        <v/>
      </c>
      <c r="E24" s="4">
        <f>COUNTIFS('Super Admin'!C:C,A24,'Super Admin'!L:L,"Fail")</f>
        <v/>
      </c>
      <c r="F24" s="4">
        <f>COUNTIFS('Super Admin'!C:C,A24,'Super Admin'!L:L,"Blocked")</f>
        <v/>
      </c>
      <c r="G24" s="4">
        <f>COUNTIFS('Super Admin'!C:C,A24,'Super Admin'!L:L,"Not Run")</f>
        <v/>
      </c>
      <c r="H24" s="9">
        <f>IF((D24+E24)=0,0,D24/(D24+E24))</f>
        <v/>
      </c>
      <c r="I24" s="4">
        <f>COUNTIFS('Super Admin'!C:C,A24,'Super Admin'!M:M,"Critical")</f>
        <v/>
      </c>
      <c r="J24" s="4" t="inlineStr">
        <is>
          <t>docs/qa/regression/super-admin/SA-13-subscriptions.md</t>
        </is>
      </c>
    </row>
    <row r="25">
      <c r="A25" s="4" t="inlineStr">
        <is>
          <t>SA-14 · Team and access, Staff users</t>
        </is>
      </c>
      <c r="B25" s="4" t="inlineStr">
        <is>
          <t>Super Admin</t>
        </is>
      </c>
      <c r="C25" s="4">
        <f>COUNTIF('Super Admin'!C:C,A25)</f>
        <v/>
      </c>
      <c r="D25" s="4">
        <f>COUNTIFS('Super Admin'!C:C,A25,'Super Admin'!L:L,"Pass")</f>
        <v/>
      </c>
      <c r="E25" s="4">
        <f>COUNTIFS('Super Admin'!C:C,A25,'Super Admin'!L:L,"Fail")</f>
        <v/>
      </c>
      <c r="F25" s="4">
        <f>COUNTIFS('Super Admin'!C:C,A25,'Super Admin'!L:L,"Blocked")</f>
        <v/>
      </c>
      <c r="G25" s="4">
        <f>COUNTIFS('Super Admin'!C:C,A25,'Super Admin'!L:L,"Not Run")</f>
        <v/>
      </c>
      <c r="H25" s="9">
        <f>IF((D25+E25)=0,0,D25/(D25+E25))</f>
        <v/>
      </c>
      <c r="I25" s="4">
        <f>COUNTIFS('Super Admin'!C:C,A25,'Super Admin'!M:M,"Critical")</f>
        <v/>
      </c>
      <c r="J25" s="4" t="inlineStr">
        <is>
          <t>docs/qa/regression/super-admin/SA-14-team.md</t>
        </is>
      </c>
    </row>
    <row r="26">
      <c r="A26" s="4" t="inlineStr">
        <is>
          <t>SA-15 · Platform permissions and isolation</t>
        </is>
      </c>
      <c r="B26" s="4" t="inlineStr">
        <is>
          <t>Super Admin</t>
        </is>
      </c>
      <c r="C26" s="4">
        <f>COUNTIF('Super Admin'!C:C,A26)</f>
        <v/>
      </c>
      <c r="D26" s="4">
        <f>COUNTIFS('Super Admin'!C:C,A26,'Super Admin'!L:L,"Pass")</f>
        <v/>
      </c>
      <c r="E26" s="4">
        <f>COUNTIFS('Super Admin'!C:C,A26,'Super Admin'!L:L,"Fail")</f>
        <v/>
      </c>
      <c r="F26" s="4">
        <f>COUNTIFS('Super Admin'!C:C,A26,'Super Admin'!L:L,"Blocked")</f>
        <v/>
      </c>
      <c r="G26" s="4">
        <f>COUNTIFS('Super Admin'!C:C,A26,'Super Admin'!L:L,"Not Run")</f>
        <v/>
      </c>
      <c r="H26" s="9">
        <f>IF((D26+E26)=0,0,D26/(D26+E26))</f>
        <v/>
      </c>
      <c r="I26" s="4">
        <f>COUNTIFS('Super Admin'!C:C,A26,'Super Admin'!M:M,"Critical")</f>
        <v/>
      </c>
      <c r="J26" s="4" t="inlineStr">
        <is>
          <t>docs/qa/regression/super-admin/SA-15-permissions.md</t>
        </is>
      </c>
    </row>
    <row r="27">
      <c r="A27" s="4" t="inlineStr">
        <is>
          <t>VC-01 · Sign in, first password and session</t>
        </is>
      </c>
      <c r="B27" s="4" t="inlineStr">
        <is>
          <t>Vendor CMS</t>
        </is>
      </c>
      <c r="C27" s="4">
        <f>COUNTIF('Vendor CMS'!C:C,A27)</f>
        <v/>
      </c>
      <c r="D27" s="4">
        <f>COUNTIFS('Vendor CMS'!C:C,A27,'Vendor CMS'!L:L,"Pass")</f>
        <v/>
      </c>
      <c r="E27" s="4">
        <f>COUNTIFS('Vendor CMS'!C:C,A27,'Vendor CMS'!L:L,"Fail")</f>
        <v/>
      </c>
      <c r="F27" s="4">
        <f>COUNTIFS('Vendor CMS'!C:C,A27,'Vendor CMS'!L:L,"Blocked")</f>
        <v/>
      </c>
      <c r="G27" s="4">
        <f>COUNTIFS('Vendor CMS'!C:C,A27,'Vendor CMS'!L:L,"Not Run")</f>
        <v/>
      </c>
      <c r="H27" s="9">
        <f>IF((D27+E27)=0,0,D27/(D27+E27))</f>
        <v/>
      </c>
      <c r="I27" s="4">
        <f>COUNTIFS('Vendor CMS'!C:C,A27,'Vendor CMS'!M:M,"Critical")</f>
        <v/>
      </c>
      <c r="J27" s="4" t="inlineStr">
        <is>
          <t>docs/qa/regression/vendor-cms/VC-01-sign-in.md</t>
        </is>
      </c>
    </row>
    <row r="28">
      <c r="A28" s="4" t="inlineStr">
        <is>
          <t>VC-02 · Store dashboard and navigation</t>
        </is>
      </c>
      <c r="B28" s="4" t="inlineStr">
        <is>
          <t>Vendor CMS</t>
        </is>
      </c>
      <c r="C28" s="4">
        <f>COUNTIF('Vendor CMS'!C:C,A28)</f>
        <v/>
      </c>
      <c r="D28" s="4">
        <f>COUNTIFS('Vendor CMS'!C:C,A28,'Vendor CMS'!L:L,"Pass")</f>
        <v/>
      </c>
      <c r="E28" s="4">
        <f>COUNTIFS('Vendor CMS'!C:C,A28,'Vendor CMS'!L:L,"Fail")</f>
        <v/>
      </c>
      <c r="F28" s="4">
        <f>COUNTIFS('Vendor CMS'!C:C,A28,'Vendor CMS'!L:L,"Blocked")</f>
        <v/>
      </c>
      <c r="G28" s="4">
        <f>COUNTIFS('Vendor CMS'!C:C,A28,'Vendor CMS'!L:L,"Not Run")</f>
        <v/>
      </c>
      <c r="H28" s="9">
        <f>IF((D28+E28)=0,0,D28/(D28+E28))</f>
        <v/>
      </c>
      <c r="I28" s="4">
        <f>COUNTIFS('Vendor CMS'!C:C,A28,'Vendor CMS'!M:M,"Critical")</f>
        <v/>
      </c>
      <c r="J28" s="4" t="inlineStr">
        <is>
          <t>docs/qa/regression/vendor-cms/VC-02-dashboard.md</t>
        </is>
      </c>
    </row>
    <row r="29">
      <c r="A29" s="4" t="inlineStr">
        <is>
          <t>VC-03 · Store settings</t>
        </is>
      </c>
      <c r="B29" s="4" t="inlineStr">
        <is>
          <t>Vendor CMS</t>
        </is>
      </c>
      <c r="C29" s="4">
        <f>COUNTIF('Vendor CMS'!C:C,A29)</f>
        <v/>
      </c>
      <c r="D29" s="4">
        <f>COUNTIFS('Vendor CMS'!C:C,A29,'Vendor CMS'!L:L,"Pass")</f>
        <v/>
      </c>
      <c r="E29" s="4">
        <f>COUNTIFS('Vendor CMS'!C:C,A29,'Vendor CMS'!L:L,"Fail")</f>
        <v/>
      </c>
      <c r="F29" s="4">
        <f>COUNTIFS('Vendor CMS'!C:C,A29,'Vendor CMS'!L:L,"Blocked")</f>
        <v/>
      </c>
      <c r="G29" s="4">
        <f>COUNTIFS('Vendor CMS'!C:C,A29,'Vendor CMS'!L:L,"Not Run")</f>
        <v/>
      </c>
      <c r="H29" s="9">
        <f>IF((D29+E29)=0,0,D29/(D29+E29))</f>
        <v/>
      </c>
      <c r="I29" s="4">
        <f>COUNTIFS('Vendor CMS'!C:C,A29,'Vendor CMS'!M:M,"Critical")</f>
        <v/>
      </c>
      <c r="J29" s="4" t="inlineStr">
        <is>
          <t>docs/qa/regression/vendor-cms/VC-03-store-settings.md</t>
        </is>
      </c>
    </row>
    <row r="30">
      <c r="A30" s="4" t="inlineStr">
        <is>
          <t>VC-04 · Products and product editor</t>
        </is>
      </c>
      <c r="B30" s="4" t="inlineStr">
        <is>
          <t>Vendor CMS</t>
        </is>
      </c>
      <c r="C30" s="4">
        <f>COUNTIF('Vendor CMS'!C:C,A30)</f>
        <v/>
      </c>
      <c r="D30" s="4">
        <f>COUNTIFS('Vendor CMS'!C:C,A30,'Vendor CMS'!L:L,"Pass")</f>
        <v/>
      </c>
      <c r="E30" s="4">
        <f>COUNTIFS('Vendor CMS'!C:C,A30,'Vendor CMS'!L:L,"Fail")</f>
        <v/>
      </c>
      <c r="F30" s="4">
        <f>COUNTIFS('Vendor CMS'!C:C,A30,'Vendor CMS'!L:L,"Blocked")</f>
        <v/>
      </c>
      <c r="G30" s="4">
        <f>COUNTIFS('Vendor CMS'!C:C,A30,'Vendor CMS'!L:L,"Not Run")</f>
        <v/>
      </c>
      <c r="H30" s="9">
        <f>IF((D30+E30)=0,0,D30/(D30+E30))</f>
        <v/>
      </c>
      <c r="I30" s="4">
        <f>COUNTIFS('Vendor CMS'!C:C,A30,'Vendor CMS'!M:M,"Critical")</f>
        <v/>
      </c>
      <c r="J30" s="4" t="inlineStr">
        <is>
          <t>docs/qa/regression/vendor-cms/VC-04-products.md</t>
        </is>
      </c>
    </row>
    <row r="31">
      <c r="A31" s="4" t="inlineStr">
        <is>
          <t>VC-05 · Categories</t>
        </is>
      </c>
      <c r="B31" s="4" t="inlineStr">
        <is>
          <t>Vendor CMS</t>
        </is>
      </c>
      <c r="C31" s="4">
        <f>COUNTIF('Vendor CMS'!C:C,A31)</f>
        <v/>
      </c>
      <c r="D31" s="4">
        <f>COUNTIFS('Vendor CMS'!C:C,A31,'Vendor CMS'!L:L,"Pass")</f>
        <v/>
      </c>
      <c r="E31" s="4">
        <f>COUNTIFS('Vendor CMS'!C:C,A31,'Vendor CMS'!L:L,"Fail")</f>
        <v/>
      </c>
      <c r="F31" s="4">
        <f>COUNTIFS('Vendor CMS'!C:C,A31,'Vendor CMS'!L:L,"Blocked")</f>
        <v/>
      </c>
      <c r="G31" s="4">
        <f>COUNTIFS('Vendor CMS'!C:C,A31,'Vendor CMS'!L:L,"Not Run")</f>
        <v/>
      </c>
      <c r="H31" s="9">
        <f>IF((D31+E31)=0,0,D31/(D31+E31))</f>
        <v/>
      </c>
      <c r="I31" s="4">
        <f>COUNTIFS('Vendor CMS'!C:C,A31,'Vendor CMS'!M:M,"Critical")</f>
        <v/>
      </c>
      <c r="J31" s="4" t="inlineStr">
        <is>
          <t>docs/qa/regression/vendor-cms/VC-05-categories.md</t>
        </is>
      </c>
    </row>
    <row r="32">
      <c r="A32" s="4" t="inlineStr">
        <is>
          <t>VC-06 · Attribute sets</t>
        </is>
      </c>
      <c r="B32" s="4" t="inlineStr">
        <is>
          <t>Vendor CMS</t>
        </is>
      </c>
      <c r="C32" s="4">
        <f>COUNTIF('Vendor CMS'!C:C,A32)</f>
        <v/>
      </c>
      <c r="D32" s="4">
        <f>COUNTIFS('Vendor CMS'!C:C,A32,'Vendor CMS'!L:L,"Pass")</f>
        <v/>
      </c>
      <c r="E32" s="4">
        <f>COUNTIFS('Vendor CMS'!C:C,A32,'Vendor CMS'!L:L,"Fail")</f>
        <v/>
      </c>
      <c r="F32" s="4">
        <f>COUNTIFS('Vendor CMS'!C:C,A32,'Vendor CMS'!L:L,"Blocked")</f>
        <v/>
      </c>
      <c r="G32" s="4">
        <f>COUNTIFS('Vendor CMS'!C:C,A32,'Vendor CMS'!L:L,"Not Run")</f>
        <v/>
      </c>
      <c r="H32" s="9">
        <f>IF((D32+E32)=0,0,D32/(D32+E32))</f>
        <v/>
      </c>
      <c r="I32" s="4">
        <f>COUNTIFS('Vendor CMS'!C:C,A32,'Vendor CMS'!M:M,"Critical")</f>
        <v/>
      </c>
      <c r="J32" s="4" t="inlineStr">
        <is>
          <t>docs/qa/regression/vendor-cms/VC-06-attribute-sets.md</t>
        </is>
      </c>
    </row>
    <row r="33">
      <c r="A33" s="4" t="inlineStr">
        <is>
          <t>VC-07 · Brands, Documents and Variants</t>
        </is>
      </c>
      <c r="B33" s="4" t="inlineStr">
        <is>
          <t>Vendor CMS</t>
        </is>
      </c>
      <c r="C33" s="4">
        <f>COUNTIF('Vendor CMS'!C:C,A33)</f>
        <v/>
      </c>
      <c r="D33" s="4">
        <f>COUNTIFS('Vendor CMS'!C:C,A33,'Vendor CMS'!L:L,"Pass")</f>
        <v/>
      </c>
      <c r="E33" s="4">
        <f>COUNTIFS('Vendor CMS'!C:C,A33,'Vendor CMS'!L:L,"Fail")</f>
        <v/>
      </c>
      <c r="F33" s="4">
        <f>COUNTIFS('Vendor CMS'!C:C,A33,'Vendor CMS'!L:L,"Blocked")</f>
        <v/>
      </c>
      <c r="G33" s="4">
        <f>COUNTIFS('Vendor CMS'!C:C,A33,'Vendor CMS'!L:L,"Not Run")</f>
        <v/>
      </c>
      <c r="H33" s="9">
        <f>IF((D33+E33)=0,0,D33/(D33+E33))</f>
        <v/>
      </c>
      <c r="I33" s="4">
        <f>COUNTIFS('Vendor CMS'!C:C,A33,'Vendor CMS'!M:M,"Critical")</f>
        <v/>
      </c>
      <c r="J33" s="4" t="inlineStr">
        <is>
          <t>docs/qa/regression/vendor-cms/VC-07-brands-documents.md</t>
        </is>
      </c>
    </row>
    <row r="34">
      <c r="A34" s="4" t="inlineStr">
        <is>
          <t>VC-08 · Import and export</t>
        </is>
      </c>
      <c r="B34" s="4" t="inlineStr">
        <is>
          <t>Vendor CMS</t>
        </is>
      </c>
      <c r="C34" s="4">
        <f>COUNTIF('Vendor CMS'!C:C,A34)</f>
        <v/>
      </c>
      <c r="D34" s="4">
        <f>COUNTIFS('Vendor CMS'!C:C,A34,'Vendor CMS'!L:L,"Pass")</f>
        <v/>
      </c>
      <c r="E34" s="4">
        <f>COUNTIFS('Vendor CMS'!C:C,A34,'Vendor CMS'!L:L,"Fail")</f>
        <v/>
      </c>
      <c r="F34" s="4">
        <f>COUNTIFS('Vendor CMS'!C:C,A34,'Vendor CMS'!L:L,"Blocked")</f>
        <v/>
      </c>
      <c r="G34" s="4">
        <f>COUNTIFS('Vendor CMS'!C:C,A34,'Vendor CMS'!L:L,"Not Run")</f>
        <v/>
      </c>
      <c r="H34" s="9">
        <f>IF((D34+E34)=0,0,D34/(D34+E34))</f>
        <v/>
      </c>
      <c r="I34" s="4">
        <f>COUNTIFS('Vendor CMS'!C:C,A34,'Vendor CMS'!M:M,"Critical")</f>
        <v/>
      </c>
      <c r="J34" s="4" t="inlineStr">
        <is>
          <t>docs/qa/regression/vendor-cms/VC-08-import.md</t>
        </is>
      </c>
    </row>
    <row r="35">
      <c r="A35" s="4" t="inlineStr">
        <is>
          <t>VC-09 · Media library</t>
        </is>
      </c>
      <c r="B35" s="4" t="inlineStr">
        <is>
          <t>Vendor CMS</t>
        </is>
      </c>
      <c r="C35" s="4">
        <f>COUNTIF('Vendor CMS'!C:C,A35)</f>
        <v/>
      </c>
      <c r="D35" s="4">
        <f>COUNTIFS('Vendor CMS'!C:C,A35,'Vendor CMS'!L:L,"Pass")</f>
        <v/>
      </c>
      <c r="E35" s="4">
        <f>COUNTIFS('Vendor CMS'!C:C,A35,'Vendor CMS'!L:L,"Fail")</f>
        <v/>
      </c>
      <c r="F35" s="4">
        <f>COUNTIFS('Vendor CMS'!C:C,A35,'Vendor CMS'!L:L,"Blocked")</f>
        <v/>
      </c>
      <c r="G35" s="4">
        <f>COUNTIFS('Vendor CMS'!C:C,A35,'Vendor CMS'!L:L,"Not Run")</f>
        <v/>
      </c>
      <c r="H35" s="9">
        <f>IF((D35+E35)=0,0,D35/(D35+E35))</f>
        <v/>
      </c>
      <c r="I35" s="4">
        <f>COUNTIFS('Vendor CMS'!C:C,A35,'Vendor CMS'!M:M,"Critical")</f>
        <v/>
      </c>
      <c r="J35" s="4" t="inlineStr">
        <is>
          <t>docs/qa/regression/vendor-cms/VC-09-media.md</t>
        </is>
      </c>
    </row>
    <row r="36">
      <c r="A36" s="4" t="inlineStr">
        <is>
          <t>VC-10 · Orders and order detail</t>
        </is>
      </c>
      <c r="B36" s="4" t="inlineStr">
        <is>
          <t>Vendor CMS</t>
        </is>
      </c>
      <c r="C36" s="4">
        <f>COUNTIF('Vendor CMS'!C:C,A36)</f>
        <v/>
      </c>
      <c r="D36" s="4">
        <f>COUNTIFS('Vendor CMS'!C:C,A36,'Vendor CMS'!L:L,"Pass")</f>
        <v/>
      </c>
      <c r="E36" s="4">
        <f>COUNTIFS('Vendor CMS'!C:C,A36,'Vendor CMS'!L:L,"Fail")</f>
        <v/>
      </c>
      <c r="F36" s="4">
        <f>COUNTIFS('Vendor CMS'!C:C,A36,'Vendor CMS'!L:L,"Blocked")</f>
        <v/>
      </c>
      <c r="G36" s="4">
        <f>COUNTIFS('Vendor CMS'!C:C,A36,'Vendor CMS'!L:L,"Not Run")</f>
        <v/>
      </c>
      <c r="H36" s="9">
        <f>IF((D36+E36)=0,0,D36/(D36+E36))</f>
        <v/>
      </c>
      <c r="I36" s="4">
        <f>COUNTIFS('Vendor CMS'!C:C,A36,'Vendor CMS'!M:M,"Critical")</f>
        <v/>
      </c>
      <c r="J36" s="4" t="inlineStr">
        <is>
          <t>docs/qa/regression/vendor-cms/VC-10-orders.md</t>
        </is>
      </c>
    </row>
    <row r="37">
      <c r="A37" s="4" t="inlineStr">
        <is>
          <t>VC-11 · Returns</t>
        </is>
      </c>
      <c r="B37" s="4" t="inlineStr">
        <is>
          <t>Vendor CMS</t>
        </is>
      </c>
      <c r="C37" s="4">
        <f>COUNTIF('Vendor CMS'!C:C,A37)</f>
        <v/>
      </c>
      <c r="D37" s="4">
        <f>COUNTIFS('Vendor CMS'!C:C,A37,'Vendor CMS'!L:L,"Pass")</f>
        <v/>
      </c>
      <c r="E37" s="4">
        <f>COUNTIFS('Vendor CMS'!C:C,A37,'Vendor CMS'!L:L,"Fail")</f>
        <v/>
      </c>
      <c r="F37" s="4">
        <f>COUNTIFS('Vendor CMS'!C:C,A37,'Vendor CMS'!L:L,"Blocked")</f>
        <v/>
      </c>
      <c r="G37" s="4">
        <f>COUNTIFS('Vendor CMS'!C:C,A37,'Vendor CMS'!L:L,"Not Run")</f>
        <v/>
      </c>
      <c r="H37" s="9">
        <f>IF((D37+E37)=0,0,D37/(D37+E37))</f>
        <v/>
      </c>
      <c r="I37" s="4">
        <f>COUNTIFS('Vendor CMS'!C:C,A37,'Vendor CMS'!M:M,"Critical")</f>
        <v/>
      </c>
      <c r="J37" s="4" t="inlineStr">
        <is>
          <t>docs/qa/regression/vendor-cms/VC-11-returns.md</t>
        </is>
      </c>
    </row>
    <row r="38">
      <c r="A38" s="4" t="inlineStr">
        <is>
          <t>VC-12 · Customers and privacy requests</t>
        </is>
      </c>
      <c r="B38" s="4" t="inlineStr">
        <is>
          <t>Vendor CMS</t>
        </is>
      </c>
      <c r="C38" s="4">
        <f>COUNTIF('Vendor CMS'!C:C,A38)</f>
        <v/>
      </c>
      <c r="D38" s="4">
        <f>COUNTIFS('Vendor CMS'!C:C,A38,'Vendor CMS'!L:L,"Pass")</f>
        <v/>
      </c>
      <c r="E38" s="4">
        <f>COUNTIFS('Vendor CMS'!C:C,A38,'Vendor CMS'!L:L,"Fail")</f>
        <v/>
      </c>
      <c r="F38" s="4">
        <f>COUNTIFS('Vendor CMS'!C:C,A38,'Vendor CMS'!L:L,"Blocked")</f>
        <v/>
      </c>
      <c r="G38" s="4">
        <f>COUNTIFS('Vendor CMS'!C:C,A38,'Vendor CMS'!L:L,"Not Run")</f>
        <v/>
      </c>
      <c r="H38" s="9">
        <f>IF((D38+E38)=0,0,D38/(D38+E38))</f>
        <v/>
      </c>
      <c r="I38" s="4">
        <f>COUNTIFS('Vendor CMS'!C:C,A38,'Vendor CMS'!M:M,"Critical")</f>
        <v/>
      </c>
      <c r="J38" s="4" t="inlineStr">
        <is>
          <t>docs/qa/regression/vendor-cms/VC-12-customers.md</t>
        </is>
      </c>
    </row>
    <row r="39">
      <c r="A39" s="4" t="inlineStr">
        <is>
          <t>VC-13 · Enquiries inbox</t>
        </is>
      </c>
      <c r="B39" s="4" t="inlineStr">
        <is>
          <t>Vendor CMS</t>
        </is>
      </c>
      <c r="C39" s="4">
        <f>COUNTIF('Vendor CMS'!C:C,A39)</f>
        <v/>
      </c>
      <c r="D39" s="4">
        <f>COUNTIFS('Vendor CMS'!C:C,A39,'Vendor CMS'!L:L,"Pass")</f>
        <v/>
      </c>
      <c r="E39" s="4">
        <f>COUNTIFS('Vendor CMS'!C:C,A39,'Vendor CMS'!L:L,"Fail")</f>
        <v/>
      </c>
      <c r="F39" s="4">
        <f>COUNTIFS('Vendor CMS'!C:C,A39,'Vendor CMS'!L:L,"Blocked")</f>
        <v/>
      </c>
      <c r="G39" s="4">
        <f>COUNTIFS('Vendor CMS'!C:C,A39,'Vendor CMS'!L:L,"Not Run")</f>
        <v/>
      </c>
      <c r="H39" s="9">
        <f>IF((D39+E39)=0,0,D39/(D39+E39))</f>
        <v/>
      </c>
      <c r="I39" s="4">
        <f>COUNTIFS('Vendor CMS'!C:C,A39,'Vendor CMS'!M:M,"Critical")</f>
        <v/>
      </c>
      <c r="J39" s="4" t="inlineStr">
        <is>
          <t>docs/qa/regression/vendor-cms/VC-13-enquiries.md</t>
        </is>
      </c>
    </row>
    <row r="40">
      <c r="A40" s="4" t="inlineStr">
        <is>
          <t>VC-14 · Schemes and offers</t>
        </is>
      </c>
      <c r="B40" s="4" t="inlineStr">
        <is>
          <t>Vendor CMS</t>
        </is>
      </c>
      <c r="C40" s="4">
        <f>COUNTIF('Vendor CMS'!C:C,A40)</f>
        <v/>
      </c>
      <c r="D40" s="4">
        <f>COUNTIFS('Vendor CMS'!C:C,A40,'Vendor CMS'!L:L,"Pass")</f>
        <v/>
      </c>
      <c r="E40" s="4">
        <f>COUNTIFS('Vendor CMS'!C:C,A40,'Vendor CMS'!L:L,"Fail")</f>
        <v/>
      </c>
      <c r="F40" s="4">
        <f>COUNTIFS('Vendor CMS'!C:C,A40,'Vendor CMS'!L:L,"Blocked")</f>
        <v/>
      </c>
      <c r="G40" s="4">
        <f>COUNTIFS('Vendor CMS'!C:C,A40,'Vendor CMS'!L:L,"Not Run")</f>
        <v/>
      </c>
      <c r="H40" s="9">
        <f>IF((D40+E40)=0,0,D40/(D40+E40))</f>
        <v/>
      </c>
      <c r="I40" s="4">
        <f>COUNTIFS('Vendor CMS'!C:C,A40,'Vendor CMS'!M:M,"Critical")</f>
        <v/>
      </c>
      <c r="J40" s="4" t="inlineStr">
        <is>
          <t>docs/qa/regression/vendor-cms/VC-14-schemes.md</t>
        </is>
      </c>
    </row>
    <row r="41">
      <c r="A41" s="4" t="inlineStr">
        <is>
          <t>VC-15 · Coupons</t>
        </is>
      </c>
      <c r="B41" s="4" t="inlineStr">
        <is>
          <t>Vendor CMS</t>
        </is>
      </c>
      <c r="C41" s="4">
        <f>COUNTIF('Vendor CMS'!C:C,A41)</f>
        <v/>
      </c>
      <c r="D41" s="4">
        <f>COUNTIFS('Vendor CMS'!C:C,A41,'Vendor CMS'!L:L,"Pass")</f>
        <v/>
      </c>
      <c r="E41" s="4">
        <f>COUNTIFS('Vendor CMS'!C:C,A41,'Vendor CMS'!L:L,"Fail")</f>
        <v/>
      </c>
      <c r="F41" s="4">
        <f>COUNTIFS('Vendor CMS'!C:C,A41,'Vendor CMS'!L:L,"Blocked")</f>
        <v/>
      </c>
      <c r="G41" s="4">
        <f>COUNTIFS('Vendor CMS'!C:C,A41,'Vendor CMS'!L:L,"Not Run")</f>
        <v/>
      </c>
      <c r="H41" s="9">
        <f>IF((D41+E41)=0,0,D41/(D41+E41))</f>
        <v/>
      </c>
      <c r="I41" s="4">
        <f>COUNTIFS('Vendor CMS'!C:C,A41,'Vendor CMS'!M:M,"Critical")</f>
        <v/>
      </c>
      <c r="J41" s="4" t="inlineStr">
        <is>
          <t>docs/qa/regression/vendor-cms/VC-15-coupons.md</t>
        </is>
      </c>
    </row>
    <row r="42">
      <c r="A42" s="4" t="inlineStr">
        <is>
          <t>VC-16 · Offer messages</t>
        </is>
      </c>
      <c r="B42" s="4" t="inlineStr">
        <is>
          <t>Vendor CMS</t>
        </is>
      </c>
      <c r="C42" s="4">
        <f>COUNTIF('Vendor CMS'!C:C,A42)</f>
        <v/>
      </c>
      <c r="D42" s="4">
        <f>COUNTIFS('Vendor CMS'!C:C,A42,'Vendor CMS'!L:L,"Pass")</f>
        <v/>
      </c>
      <c r="E42" s="4">
        <f>COUNTIFS('Vendor CMS'!C:C,A42,'Vendor CMS'!L:L,"Fail")</f>
        <v/>
      </c>
      <c r="F42" s="4">
        <f>COUNTIFS('Vendor CMS'!C:C,A42,'Vendor CMS'!L:L,"Blocked")</f>
        <v/>
      </c>
      <c r="G42" s="4">
        <f>COUNTIFS('Vendor CMS'!C:C,A42,'Vendor CMS'!L:L,"Not Run")</f>
        <v/>
      </c>
      <c r="H42" s="9">
        <f>IF((D42+E42)=0,0,D42/(D42+E42))</f>
        <v/>
      </c>
      <c r="I42" s="4">
        <f>COUNTIFS('Vendor CMS'!C:C,A42,'Vendor CMS'!M:M,"Critical")</f>
        <v/>
      </c>
      <c r="J42" s="4" t="inlineStr">
        <is>
          <t>docs/qa/regression/vendor-cms/VC-16-offer-messages.md</t>
        </is>
      </c>
    </row>
    <row r="43">
      <c r="A43" s="4" t="inlineStr">
        <is>
          <t>VC-17 · Abandoned carts</t>
        </is>
      </c>
      <c r="B43" s="4" t="inlineStr">
        <is>
          <t>Vendor CMS</t>
        </is>
      </c>
      <c r="C43" s="4">
        <f>COUNTIF('Vendor CMS'!C:C,A43)</f>
        <v/>
      </c>
      <c r="D43" s="4">
        <f>COUNTIFS('Vendor CMS'!C:C,A43,'Vendor CMS'!L:L,"Pass")</f>
        <v/>
      </c>
      <c r="E43" s="4">
        <f>COUNTIFS('Vendor CMS'!C:C,A43,'Vendor CMS'!L:L,"Fail")</f>
        <v/>
      </c>
      <c r="F43" s="4">
        <f>COUNTIFS('Vendor CMS'!C:C,A43,'Vendor CMS'!L:L,"Blocked")</f>
        <v/>
      </c>
      <c r="G43" s="4">
        <f>COUNTIFS('Vendor CMS'!C:C,A43,'Vendor CMS'!L:L,"Not Run")</f>
        <v/>
      </c>
      <c r="H43" s="9">
        <f>IF((D43+E43)=0,0,D43/(D43+E43))</f>
        <v/>
      </c>
      <c r="I43" s="4">
        <f>COUNTIFS('Vendor CMS'!C:C,A43,'Vendor CMS'!M:M,"Critical")</f>
        <v/>
      </c>
      <c r="J43" s="4" t="inlineStr">
        <is>
          <t>docs/qa/regression/vendor-cms/VC-17-abandoned-carts.md</t>
        </is>
      </c>
    </row>
    <row r="44">
      <c r="A44" s="4" t="inlineStr">
        <is>
          <t>VC-18 · Affiliates</t>
        </is>
      </c>
      <c r="B44" s="4" t="inlineStr">
        <is>
          <t>Vendor CMS</t>
        </is>
      </c>
      <c r="C44" s="4">
        <f>COUNTIF('Vendor CMS'!C:C,A44)</f>
        <v/>
      </c>
      <c r="D44" s="4">
        <f>COUNTIFS('Vendor CMS'!C:C,A44,'Vendor CMS'!L:L,"Pass")</f>
        <v/>
      </c>
      <c r="E44" s="4">
        <f>COUNTIFS('Vendor CMS'!C:C,A44,'Vendor CMS'!L:L,"Fail")</f>
        <v/>
      </c>
      <c r="F44" s="4">
        <f>COUNTIFS('Vendor CMS'!C:C,A44,'Vendor CMS'!L:L,"Blocked")</f>
        <v/>
      </c>
      <c r="G44" s="4">
        <f>COUNTIFS('Vendor CMS'!C:C,A44,'Vendor CMS'!L:L,"Not Run")</f>
        <v/>
      </c>
      <c r="H44" s="9">
        <f>IF((D44+E44)=0,0,D44/(D44+E44))</f>
        <v/>
      </c>
      <c r="I44" s="4">
        <f>COUNTIFS('Vendor CMS'!C:C,A44,'Vendor CMS'!M:M,"Critical")</f>
        <v/>
      </c>
      <c r="J44" s="4" t="inlineStr">
        <is>
          <t>docs/qa/regression/vendor-cms/VC-18-affiliates.md</t>
        </is>
      </c>
    </row>
    <row r="45">
      <c r="A45" s="4" t="inlineStr">
        <is>
          <t>VC-19 · Reviews</t>
        </is>
      </c>
      <c r="B45" s="4" t="inlineStr">
        <is>
          <t>Vendor CMS</t>
        </is>
      </c>
      <c r="C45" s="4">
        <f>COUNTIF('Vendor CMS'!C:C,A45)</f>
        <v/>
      </c>
      <c r="D45" s="4">
        <f>COUNTIFS('Vendor CMS'!C:C,A45,'Vendor CMS'!L:L,"Pass")</f>
        <v/>
      </c>
      <c r="E45" s="4">
        <f>COUNTIFS('Vendor CMS'!C:C,A45,'Vendor CMS'!L:L,"Fail")</f>
        <v/>
      </c>
      <c r="F45" s="4">
        <f>COUNTIFS('Vendor CMS'!C:C,A45,'Vendor CMS'!L:L,"Blocked")</f>
        <v/>
      </c>
      <c r="G45" s="4">
        <f>COUNTIFS('Vendor CMS'!C:C,A45,'Vendor CMS'!L:L,"Not Run")</f>
        <v/>
      </c>
      <c r="H45" s="9">
        <f>IF((D45+E45)=0,0,D45/(D45+E45))</f>
        <v/>
      </c>
      <c r="I45" s="4">
        <f>COUNTIFS('Vendor CMS'!C:C,A45,'Vendor CMS'!M:M,"Critical")</f>
        <v/>
      </c>
      <c r="J45" s="4" t="inlineStr">
        <is>
          <t>docs/qa/regression/vendor-cms/VC-19-reviews.md</t>
        </is>
      </c>
    </row>
    <row r="46">
      <c r="A46" s="4" t="inlineStr">
        <is>
          <t>VC-20 · Pages and page builder</t>
        </is>
      </c>
      <c r="B46" s="4" t="inlineStr">
        <is>
          <t>Vendor CMS</t>
        </is>
      </c>
      <c r="C46" s="4">
        <f>COUNTIF('Vendor CMS'!C:C,A46)</f>
        <v/>
      </c>
      <c r="D46" s="4">
        <f>COUNTIFS('Vendor CMS'!C:C,A46,'Vendor CMS'!L:L,"Pass")</f>
        <v/>
      </c>
      <c r="E46" s="4">
        <f>COUNTIFS('Vendor CMS'!C:C,A46,'Vendor CMS'!L:L,"Fail")</f>
        <v/>
      </c>
      <c r="F46" s="4">
        <f>COUNTIFS('Vendor CMS'!C:C,A46,'Vendor CMS'!L:L,"Blocked")</f>
        <v/>
      </c>
      <c r="G46" s="4">
        <f>COUNTIFS('Vendor CMS'!C:C,A46,'Vendor CMS'!L:L,"Not Run")</f>
        <v/>
      </c>
      <c r="H46" s="9">
        <f>IF((D46+E46)=0,0,D46/(D46+E46))</f>
        <v/>
      </c>
      <c r="I46" s="4">
        <f>COUNTIFS('Vendor CMS'!C:C,A46,'Vendor CMS'!M:M,"Critical")</f>
        <v/>
      </c>
      <c r="J46" s="4" t="inlineStr">
        <is>
          <t>docs/qa/regression/vendor-cms/VC-20-pages.md</t>
        </is>
      </c>
    </row>
    <row r="47">
      <c r="A47" s="4" t="inlineStr">
        <is>
          <t>VC-21 · Navigation (menus)</t>
        </is>
      </c>
      <c r="B47" s="4" t="inlineStr">
        <is>
          <t>Vendor CMS</t>
        </is>
      </c>
      <c r="C47" s="4">
        <f>COUNTIF('Vendor CMS'!C:C,A47)</f>
        <v/>
      </c>
      <c r="D47" s="4">
        <f>COUNTIFS('Vendor CMS'!C:C,A47,'Vendor CMS'!L:L,"Pass")</f>
        <v/>
      </c>
      <c r="E47" s="4">
        <f>COUNTIFS('Vendor CMS'!C:C,A47,'Vendor CMS'!L:L,"Fail")</f>
        <v/>
      </c>
      <c r="F47" s="4">
        <f>COUNTIFS('Vendor CMS'!C:C,A47,'Vendor CMS'!L:L,"Blocked")</f>
        <v/>
      </c>
      <c r="G47" s="4">
        <f>COUNTIFS('Vendor CMS'!C:C,A47,'Vendor CMS'!L:L,"Not Run")</f>
        <v/>
      </c>
      <c r="H47" s="9">
        <f>IF((D47+E47)=0,0,D47/(D47+E47))</f>
        <v/>
      </c>
      <c r="I47" s="4">
        <f>COUNTIFS('Vendor CMS'!C:C,A47,'Vendor CMS'!M:M,"Critical")</f>
        <v/>
      </c>
      <c r="J47" s="4" t="inlineStr">
        <is>
          <t>docs/qa/regression/vendor-cms/VC-21-navigation.md</t>
        </is>
      </c>
    </row>
    <row r="48">
      <c r="A48" s="4" t="inlineStr">
        <is>
          <t>VC-22 · Banners and redirects</t>
        </is>
      </c>
      <c r="B48" s="4" t="inlineStr">
        <is>
          <t>Vendor CMS</t>
        </is>
      </c>
      <c r="C48" s="4">
        <f>COUNTIF('Vendor CMS'!C:C,A48)</f>
        <v/>
      </c>
      <c r="D48" s="4">
        <f>COUNTIFS('Vendor CMS'!C:C,A48,'Vendor CMS'!L:L,"Pass")</f>
        <v/>
      </c>
      <c r="E48" s="4">
        <f>COUNTIFS('Vendor CMS'!C:C,A48,'Vendor CMS'!L:L,"Fail")</f>
        <v/>
      </c>
      <c r="F48" s="4">
        <f>COUNTIFS('Vendor CMS'!C:C,A48,'Vendor CMS'!L:L,"Blocked")</f>
        <v/>
      </c>
      <c r="G48" s="4">
        <f>COUNTIFS('Vendor CMS'!C:C,A48,'Vendor CMS'!L:L,"Not Run")</f>
        <v/>
      </c>
      <c r="H48" s="9">
        <f>IF((D48+E48)=0,0,D48/(D48+E48))</f>
        <v/>
      </c>
      <c r="I48" s="4">
        <f>COUNTIFS('Vendor CMS'!C:C,A48,'Vendor CMS'!M:M,"Critical")</f>
        <v/>
      </c>
      <c r="J48" s="4" t="inlineStr">
        <is>
          <t>docs/qa/regression/vendor-cms/VC-22-banners-redirects.md</t>
        </is>
      </c>
    </row>
    <row r="49">
      <c r="A49" s="4" t="inlineStr">
        <is>
          <t>VC-23 · Dealers</t>
        </is>
      </c>
      <c r="B49" s="4" t="inlineStr">
        <is>
          <t>Vendor CMS</t>
        </is>
      </c>
      <c r="C49" s="4">
        <f>COUNTIF('Vendor CMS'!C:C,A49)</f>
        <v/>
      </c>
      <c r="D49" s="4">
        <f>COUNTIFS('Vendor CMS'!C:C,A49,'Vendor CMS'!L:L,"Pass")</f>
        <v/>
      </c>
      <c r="E49" s="4">
        <f>COUNTIFS('Vendor CMS'!C:C,A49,'Vendor CMS'!L:L,"Fail")</f>
        <v/>
      </c>
      <c r="F49" s="4">
        <f>COUNTIFS('Vendor CMS'!C:C,A49,'Vendor CMS'!L:L,"Blocked")</f>
        <v/>
      </c>
      <c r="G49" s="4">
        <f>COUNTIFS('Vendor CMS'!C:C,A49,'Vendor CMS'!L:L,"Not Run")</f>
        <v/>
      </c>
      <c r="H49" s="9">
        <f>IF((D49+E49)=0,0,D49/(D49+E49))</f>
        <v/>
      </c>
      <c r="I49" s="4">
        <f>COUNTIFS('Vendor CMS'!C:C,A49,'Vendor CMS'!M:M,"Critical")</f>
        <v/>
      </c>
      <c r="J49" s="4" t="inlineStr">
        <is>
          <t>docs/qa/regression/vendor-cms/VC-23-dealers.md</t>
        </is>
      </c>
    </row>
    <row r="50">
      <c r="A50" s="4" t="inlineStr">
        <is>
          <t>VC-24 · Shipping zones and Shiprocket</t>
        </is>
      </c>
      <c r="B50" s="4" t="inlineStr">
        <is>
          <t>Vendor CMS</t>
        </is>
      </c>
      <c r="C50" s="4">
        <f>COUNTIF('Vendor CMS'!C:C,A50)</f>
        <v/>
      </c>
      <c r="D50" s="4">
        <f>COUNTIFS('Vendor CMS'!C:C,A50,'Vendor CMS'!L:L,"Pass")</f>
        <v/>
      </c>
      <c r="E50" s="4">
        <f>COUNTIFS('Vendor CMS'!C:C,A50,'Vendor CMS'!L:L,"Fail")</f>
        <v/>
      </c>
      <c r="F50" s="4">
        <f>COUNTIFS('Vendor CMS'!C:C,A50,'Vendor CMS'!L:L,"Blocked")</f>
        <v/>
      </c>
      <c r="G50" s="4">
        <f>COUNTIFS('Vendor CMS'!C:C,A50,'Vendor CMS'!L:L,"Not Run")</f>
        <v/>
      </c>
      <c r="H50" s="9">
        <f>IF((D50+E50)=0,0,D50/(D50+E50))</f>
        <v/>
      </c>
      <c r="I50" s="4">
        <f>COUNTIFS('Vendor CMS'!C:C,A50,'Vendor CMS'!M:M,"Critical")</f>
        <v/>
      </c>
      <c r="J50" s="4" t="inlineStr">
        <is>
          <t>docs/qa/regression/vendor-cms/VC-24-shipping.md</t>
        </is>
      </c>
    </row>
    <row r="51">
      <c r="A51" s="4" t="inlineStr">
        <is>
          <t>VC-25 · Payments (Razorpay and COD)</t>
        </is>
      </c>
      <c r="B51" s="4" t="inlineStr">
        <is>
          <t>Vendor CMS</t>
        </is>
      </c>
      <c r="C51" s="4">
        <f>COUNTIF('Vendor CMS'!C:C,A51)</f>
        <v/>
      </c>
      <c r="D51" s="4">
        <f>COUNTIFS('Vendor CMS'!C:C,A51,'Vendor CMS'!L:L,"Pass")</f>
        <v/>
      </c>
      <c r="E51" s="4">
        <f>COUNTIFS('Vendor CMS'!C:C,A51,'Vendor CMS'!L:L,"Fail")</f>
        <v/>
      </c>
      <c r="F51" s="4">
        <f>COUNTIFS('Vendor CMS'!C:C,A51,'Vendor CMS'!L:L,"Blocked")</f>
        <v/>
      </c>
      <c r="G51" s="4">
        <f>COUNTIFS('Vendor CMS'!C:C,A51,'Vendor CMS'!L:L,"Not Run")</f>
        <v/>
      </c>
      <c r="H51" s="9">
        <f>IF((D51+E51)=0,0,D51/(D51+E51))</f>
        <v/>
      </c>
      <c r="I51" s="4">
        <f>COUNTIFS('Vendor CMS'!C:C,A51,'Vendor CMS'!M:M,"Critical")</f>
        <v/>
      </c>
      <c r="J51" s="4" t="inlineStr">
        <is>
          <t>docs/qa/regression/vendor-cms/VC-25-payments.md</t>
        </is>
      </c>
    </row>
    <row r="52">
      <c r="A52" s="4" t="inlineStr">
        <is>
          <t>VC-26 · WhatsApp and SMS</t>
        </is>
      </c>
      <c r="B52" s="4" t="inlineStr">
        <is>
          <t>Vendor CMS</t>
        </is>
      </c>
      <c r="C52" s="4">
        <f>COUNTIF('Vendor CMS'!C:C,A52)</f>
        <v/>
      </c>
      <c r="D52" s="4">
        <f>COUNTIFS('Vendor CMS'!C:C,A52,'Vendor CMS'!L:L,"Pass")</f>
        <v/>
      </c>
      <c r="E52" s="4">
        <f>COUNTIFS('Vendor CMS'!C:C,A52,'Vendor CMS'!L:L,"Fail")</f>
        <v/>
      </c>
      <c r="F52" s="4">
        <f>COUNTIFS('Vendor CMS'!C:C,A52,'Vendor CMS'!L:L,"Blocked")</f>
        <v/>
      </c>
      <c r="G52" s="4">
        <f>COUNTIFS('Vendor CMS'!C:C,A52,'Vendor CMS'!L:L,"Not Run")</f>
        <v/>
      </c>
      <c r="H52" s="9">
        <f>IF((D52+E52)=0,0,D52/(D52+E52))</f>
        <v/>
      </c>
      <c r="I52" s="4">
        <f>COUNTIFS('Vendor CMS'!C:C,A52,'Vendor CMS'!M:M,"Critical")</f>
        <v/>
      </c>
      <c r="J52" s="4" t="inlineStr">
        <is>
          <t>docs/qa/regression/vendor-cms/VC-26-messaging.md</t>
        </is>
      </c>
    </row>
    <row r="53">
      <c r="A53" s="4" t="inlineStr">
        <is>
          <t>VC-27 · Order updates</t>
        </is>
      </c>
      <c r="B53" s="4" t="inlineStr">
        <is>
          <t>Vendor CMS</t>
        </is>
      </c>
      <c r="C53" s="4">
        <f>COUNTIF('Vendor CMS'!C:C,A53)</f>
        <v/>
      </c>
      <c r="D53" s="4">
        <f>COUNTIFS('Vendor CMS'!C:C,A53,'Vendor CMS'!L:L,"Pass")</f>
        <v/>
      </c>
      <c r="E53" s="4">
        <f>COUNTIFS('Vendor CMS'!C:C,A53,'Vendor CMS'!L:L,"Fail")</f>
        <v/>
      </c>
      <c r="F53" s="4">
        <f>COUNTIFS('Vendor CMS'!C:C,A53,'Vendor CMS'!L:L,"Blocked")</f>
        <v/>
      </c>
      <c r="G53" s="4">
        <f>COUNTIFS('Vendor CMS'!C:C,A53,'Vendor CMS'!L:L,"Not Run")</f>
        <v/>
      </c>
      <c r="H53" s="9">
        <f>IF((D53+E53)=0,0,D53/(D53+E53))</f>
        <v/>
      </c>
      <c r="I53" s="4">
        <f>COUNTIFS('Vendor CMS'!C:C,A53,'Vendor CMS'!M:M,"Critical")</f>
        <v/>
      </c>
      <c r="J53" s="4" t="inlineStr">
        <is>
          <t>docs/qa/regression/vendor-cms/VC-27-order-updates.md</t>
        </is>
      </c>
    </row>
    <row r="54">
      <c r="A54" s="4" t="inlineStr">
        <is>
          <t>VC-28 · Staff and roles</t>
        </is>
      </c>
      <c r="B54" s="4" t="inlineStr">
        <is>
          <t>Vendor CMS</t>
        </is>
      </c>
      <c r="C54" s="4">
        <f>COUNTIF('Vendor CMS'!C:C,A54)</f>
        <v/>
      </c>
      <c r="D54" s="4">
        <f>COUNTIFS('Vendor CMS'!C:C,A54,'Vendor CMS'!L:L,"Pass")</f>
        <v/>
      </c>
      <c r="E54" s="4">
        <f>COUNTIFS('Vendor CMS'!C:C,A54,'Vendor CMS'!L:L,"Fail")</f>
        <v/>
      </c>
      <c r="F54" s="4">
        <f>COUNTIFS('Vendor CMS'!C:C,A54,'Vendor CMS'!L:L,"Blocked")</f>
        <v/>
      </c>
      <c r="G54" s="4">
        <f>COUNTIFS('Vendor CMS'!C:C,A54,'Vendor CMS'!L:L,"Not Run")</f>
        <v/>
      </c>
      <c r="H54" s="9">
        <f>IF((D54+E54)=0,0,D54/(D54+E54))</f>
        <v/>
      </c>
      <c r="I54" s="4">
        <f>COUNTIFS('Vendor CMS'!C:C,A54,'Vendor CMS'!M:M,"Critical")</f>
        <v/>
      </c>
      <c r="J54" s="4" t="inlineStr">
        <is>
          <t>docs/qa/regression/vendor-cms/VC-28-staff.md</t>
        </is>
      </c>
    </row>
    <row r="55">
      <c r="A55" s="4" t="inlineStr">
        <is>
          <t>VC-29 · Reports</t>
        </is>
      </c>
      <c r="B55" s="4" t="inlineStr">
        <is>
          <t>Vendor CMS</t>
        </is>
      </c>
      <c r="C55" s="4">
        <f>COUNTIF('Vendor CMS'!C:C,A55)</f>
        <v/>
      </c>
      <c r="D55" s="4">
        <f>COUNTIFS('Vendor CMS'!C:C,A55,'Vendor CMS'!L:L,"Pass")</f>
        <v/>
      </c>
      <c r="E55" s="4">
        <f>COUNTIFS('Vendor CMS'!C:C,A55,'Vendor CMS'!L:L,"Fail")</f>
        <v/>
      </c>
      <c r="F55" s="4">
        <f>COUNTIFS('Vendor CMS'!C:C,A55,'Vendor CMS'!L:L,"Blocked")</f>
        <v/>
      </c>
      <c r="G55" s="4">
        <f>COUNTIFS('Vendor CMS'!C:C,A55,'Vendor CMS'!L:L,"Not Run")</f>
        <v/>
      </c>
      <c r="H55" s="9">
        <f>IF((D55+E55)=0,0,D55/(D55+E55))</f>
        <v/>
      </c>
      <c r="I55" s="4">
        <f>COUNTIFS('Vendor CMS'!C:C,A55,'Vendor CMS'!M:M,"Critical")</f>
        <v/>
      </c>
      <c r="J55" s="4" t="inlineStr">
        <is>
          <t>docs/qa/regression/vendor-cms/VC-29-reports.md</t>
        </is>
      </c>
    </row>
    <row r="56">
      <c r="A56" s="4" t="inlineStr">
        <is>
          <t>E2E-01 · Vendor onboarding to first store preview</t>
        </is>
      </c>
      <c r="B56" s="4" t="inlineStr">
        <is>
          <t>End-to-End</t>
        </is>
      </c>
      <c r="C56" s="4">
        <f>COUNTIF('End-to-End Workflows'!C:C,A56)</f>
        <v/>
      </c>
      <c r="D56" s="4">
        <f>COUNTIFS('End-to-End Workflows'!C:C,A56,'End-to-End Workflows'!L:L,"Pass")</f>
        <v/>
      </c>
      <c r="E56" s="4">
        <f>COUNTIFS('End-to-End Workflows'!C:C,A56,'End-to-End Workflows'!L:L,"Fail")</f>
        <v/>
      </c>
      <c r="F56" s="4">
        <f>COUNTIFS('End-to-End Workflows'!C:C,A56,'End-to-End Workflows'!L:L,"Blocked")</f>
        <v/>
      </c>
      <c r="G56" s="4">
        <f>COUNTIFS('End-to-End Workflows'!C:C,A56,'End-to-End Workflows'!L:L,"Not Run")</f>
        <v/>
      </c>
      <c r="H56" s="9">
        <f>IF((D56+E56)=0,0,D56/(D56+E56))</f>
        <v/>
      </c>
      <c r="I56" s="4">
        <f>COUNTIFS('End-to-End Workflows'!C:C,A56,'End-to-End Workflows'!M:M,"Critical")</f>
        <v/>
      </c>
      <c r="J56" s="4" t="inlineStr">
        <is>
          <t>docs/qa/regression/e2e/E2E-01-onboarding.md</t>
        </is>
      </c>
    </row>
    <row r="57">
      <c r="A57" s="4" t="inlineStr">
        <is>
          <t>E2E-02 · Feature switches across portals</t>
        </is>
      </c>
      <c r="B57" s="4" t="inlineStr">
        <is>
          <t>End-to-End</t>
        </is>
      </c>
      <c r="C57" s="4">
        <f>COUNTIF('End-to-End Workflows'!C:C,A57)</f>
        <v/>
      </c>
      <c r="D57" s="4">
        <f>COUNTIFS('End-to-End Workflows'!C:C,A57,'End-to-End Workflows'!L:L,"Pass")</f>
        <v/>
      </c>
      <c r="E57" s="4">
        <f>COUNTIFS('End-to-End Workflows'!C:C,A57,'End-to-End Workflows'!L:L,"Fail")</f>
        <v/>
      </c>
      <c r="F57" s="4">
        <f>COUNTIFS('End-to-End Workflows'!C:C,A57,'End-to-End Workflows'!L:L,"Blocked")</f>
        <v/>
      </c>
      <c r="G57" s="4">
        <f>COUNTIFS('End-to-End Workflows'!C:C,A57,'End-to-End Workflows'!L:L,"Not Run")</f>
        <v/>
      </c>
      <c r="H57" s="9">
        <f>IF((D57+E57)=0,0,D57/(D57+E57))</f>
        <v/>
      </c>
      <c r="I57" s="4">
        <f>COUNTIFS('End-to-End Workflows'!C:C,A57,'End-to-End Workflows'!M:M,"Critical")</f>
        <v/>
      </c>
      <c r="J57" s="4" t="inlineStr">
        <is>
          <t>docs/qa/regression/e2e/E2E-02-features.md</t>
        </is>
      </c>
    </row>
    <row r="58">
      <c r="A58" s="4" t="inlineStr">
        <is>
          <t>E2E-03 · Catalogue to storefront</t>
        </is>
      </c>
      <c r="B58" s="4" t="inlineStr">
        <is>
          <t>End-to-End</t>
        </is>
      </c>
      <c r="C58" s="4">
        <f>COUNTIF('End-to-End Workflows'!C:C,A58)</f>
        <v/>
      </c>
      <c r="D58" s="4">
        <f>COUNTIFS('End-to-End Workflows'!C:C,A58,'End-to-End Workflows'!L:L,"Pass")</f>
        <v/>
      </c>
      <c r="E58" s="4">
        <f>COUNTIFS('End-to-End Workflows'!C:C,A58,'End-to-End Workflows'!L:L,"Fail")</f>
        <v/>
      </c>
      <c r="F58" s="4">
        <f>COUNTIFS('End-to-End Workflows'!C:C,A58,'End-to-End Workflows'!L:L,"Blocked")</f>
        <v/>
      </c>
      <c r="G58" s="4">
        <f>COUNTIFS('End-to-End Workflows'!C:C,A58,'End-to-End Workflows'!L:L,"Not Run")</f>
        <v/>
      </c>
      <c r="H58" s="9">
        <f>IF((D58+E58)=0,0,D58/(D58+E58))</f>
        <v/>
      </c>
      <c r="I58" s="4">
        <f>COUNTIFS('End-to-End Workflows'!C:C,A58,'End-to-End Workflows'!M:M,"Critical")</f>
        <v/>
      </c>
      <c r="J58" s="4" t="inlineStr">
        <is>
          <t>docs/qa/regression/e2e/E2E-03-catalogue.md</t>
        </is>
      </c>
    </row>
    <row r="59">
      <c r="A59" s="4" t="inlineStr">
        <is>
          <t>E2E-04 · Order to cash (COD)</t>
        </is>
      </c>
      <c r="B59" s="4" t="inlineStr">
        <is>
          <t>End-to-End</t>
        </is>
      </c>
      <c r="C59" s="4">
        <f>COUNTIF('End-to-End Workflows'!C:C,A59)</f>
        <v/>
      </c>
      <c r="D59" s="4">
        <f>COUNTIFS('End-to-End Workflows'!C:C,A59,'End-to-End Workflows'!L:L,"Pass")</f>
        <v/>
      </c>
      <c r="E59" s="4">
        <f>COUNTIFS('End-to-End Workflows'!C:C,A59,'End-to-End Workflows'!L:L,"Fail")</f>
        <v/>
      </c>
      <c r="F59" s="4">
        <f>COUNTIFS('End-to-End Workflows'!C:C,A59,'End-to-End Workflows'!L:L,"Blocked")</f>
        <v/>
      </c>
      <c r="G59" s="4">
        <f>COUNTIFS('End-to-End Workflows'!C:C,A59,'End-to-End Workflows'!L:L,"Not Run")</f>
        <v/>
      </c>
      <c r="H59" s="9">
        <f>IF((D59+E59)=0,0,D59/(D59+E59))</f>
        <v/>
      </c>
      <c r="I59" s="4">
        <f>COUNTIFS('End-to-End Workflows'!C:C,A59,'End-to-End Workflows'!M:M,"Critical")</f>
        <v/>
      </c>
      <c r="J59" s="4" t="inlineStr">
        <is>
          <t>docs/qa/regression/e2e/E2E-04-order-to-cash.md</t>
        </is>
      </c>
    </row>
    <row r="60">
      <c r="A60" s="4" t="inlineStr">
        <is>
          <t>E2E-05 · Schemes and coupons to checkout</t>
        </is>
      </c>
      <c r="B60" s="4" t="inlineStr">
        <is>
          <t>End-to-End</t>
        </is>
      </c>
      <c r="C60" s="4">
        <f>COUNTIF('End-to-End Workflows'!C:C,A60)</f>
        <v/>
      </c>
      <c r="D60" s="4">
        <f>COUNTIFS('End-to-End Workflows'!C:C,A60,'End-to-End Workflows'!L:L,"Pass")</f>
        <v/>
      </c>
      <c r="E60" s="4">
        <f>COUNTIFS('End-to-End Workflows'!C:C,A60,'End-to-End Workflows'!L:L,"Fail")</f>
        <v/>
      </c>
      <c r="F60" s="4">
        <f>COUNTIFS('End-to-End Workflows'!C:C,A60,'End-to-End Workflows'!L:L,"Blocked")</f>
        <v/>
      </c>
      <c r="G60" s="4">
        <f>COUNTIFS('End-to-End Workflows'!C:C,A60,'End-to-End Workflows'!L:L,"Not Run")</f>
        <v/>
      </c>
      <c r="H60" s="9">
        <f>IF((D60+E60)=0,0,D60/(D60+E60))</f>
        <v/>
      </c>
      <c r="I60" s="4">
        <f>COUNTIFS('End-to-End Workflows'!C:C,A60,'End-to-End Workflows'!M:M,"Critical")</f>
        <v/>
      </c>
      <c r="J60" s="4" t="inlineStr">
        <is>
          <t>docs/qa/regression/e2e/E2E-05-offers.md</t>
        </is>
      </c>
    </row>
    <row r="61">
      <c r="A61" s="4" t="inlineStr">
        <is>
          <t>E2E-06 · Review lifecycle</t>
        </is>
      </c>
      <c r="B61" s="4" t="inlineStr">
        <is>
          <t>End-to-End</t>
        </is>
      </c>
      <c r="C61" s="4">
        <f>COUNTIF('End-to-End Workflows'!C:C,A61)</f>
        <v/>
      </c>
      <c r="D61" s="4">
        <f>COUNTIFS('End-to-End Workflows'!C:C,A61,'End-to-End Workflows'!L:L,"Pass")</f>
        <v/>
      </c>
      <c r="E61" s="4">
        <f>COUNTIFS('End-to-End Workflows'!C:C,A61,'End-to-End Workflows'!L:L,"Fail")</f>
        <v/>
      </c>
      <c r="F61" s="4">
        <f>COUNTIFS('End-to-End Workflows'!C:C,A61,'End-to-End Workflows'!L:L,"Blocked")</f>
        <v/>
      </c>
      <c r="G61" s="4">
        <f>COUNTIFS('End-to-End Workflows'!C:C,A61,'End-to-End Workflows'!L:L,"Not Run")</f>
        <v/>
      </c>
      <c r="H61" s="9">
        <f>IF((D61+E61)=0,0,D61/(D61+E61))</f>
        <v/>
      </c>
      <c r="I61" s="4">
        <f>COUNTIFS('End-to-End Workflows'!C:C,A61,'End-to-End Workflows'!M:M,"Critical")</f>
        <v/>
      </c>
      <c r="J61" s="4" t="inlineStr">
        <is>
          <t>docs/qa/regression/e2e/E2E-06-reviews.md</t>
        </is>
      </c>
    </row>
    <row r="62">
      <c r="A62" s="4" t="inlineStr">
        <is>
          <t>E2E-07 · Store status across portals</t>
        </is>
      </c>
      <c r="B62" s="4" t="inlineStr">
        <is>
          <t>End-to-End</t>
        </is>
      </c>
      <c r="C62" s="4">
        <f>COUNTIF('End-to-End Workflows'!C:C,A62)</f>
        <v/>
      </c>
      <c r="D62" s="4">
        <f>COUNTIFS('End-to-End Workflows'!C:C,A62,'End-to-End Workflows'!L:L,"Pass")</f>
        <v/>
      </c>
      <c r="E62" s="4">
        <f>COUNTIFS('End-to-End Workflows'!C:C,A62,'End-to-End Workflows'!L:L,"Fail")</f>
        <v/>
      </c>
      <c r="F62" s="4">
        <f>COUNTIFS('End-to-End Workflows'!C:C,A62,'End-to-End Workflows'!L:L,"Blocked")</f>
        <v/>
      </c>
      <c r="G62" s="4">
        <f>COUNTIFS('End-to-End Workflows'!C:C,A62,'End-to-End Workflows'!L:L,"Not Run")</f>
        <v/>
      </c>
      <c r="H62" s="9">
        <f>IF((D62+E62)=0,0,D62/(D62+E62))</f>
        <v/>
      </c>
      <c r="I62" s="4">
        <f>COUNTIFS('End-to-End Workflows'!C:C,A62,'End-to-End Workflows'!M:M,"Critical")</f>
        <v/>
      </c>
      <c r="J62" s="4" t="inlineStr">
        <is>
          <t>docs/qa/regression/e2e/E2E-07-store-status.md</t>
        </is>
      </c>
    </row>
    <row r="63">
      <c r="A63" s="4" t="inlineStr">
        <is>
          <t>E2E-08 · Platform support session audit</t>
        </is>
      </c>
      <c r="B63" s="4" t="inlineStr">
        <is>
          <t>End-to-End</t>
        </is>
      </c>
      <c r="C63" s="4">
        <f>COUNTIF('End-to-End Workflows'!C:C,A63)</f>
        <v/>
      </c>
      <c r="D63" s="4">
        <f>COUNTIFS('End-to-End Workflows'!C:C,A63,'End-to-End Workflows'!L:L,"Pass")</f>
        <v/>
      </c>
      <c r="E63" s="4">
        <f>COUNTIFS('End-to-End Workflows'!C:C,A63,'End-to-End Workflows'!L:L,"Fail")</f>
        <v/>
      </c>
      <c r="F63" s="4">
        <f>COUNTIFS('End-to-End Workflows'!C:C,A63,'End-to-End Workflows'!L:L,"Blocked")</f>
        <v/>
      </c>
      <c r="G63" s="4">
        <f>COUNTIFS('End-to-End Workflows'!C:C,A63,'End-to-End Workflows'!L:L,"Not Run")</f>
        <v/>
      </c>
      <c r="H63" s="9">
        <f>IF((D63+E63)=0,0,D63/(D63+E63))</f>
        <v/>
      </c>
      <c r="I63" s="4">
        <f>COUNTIFS('End-to-End Workflows'!C:C,A63,'End-to-End Workflows'!M:M,"Critical")</f>
        <v/>
      </c>
      <c r="J63" s="4" t="inlineStr">
        <is>
          <t>docs/qa/regression/e2e/E2E-08-support-session.md</t>
        </is>
      </c>
    </row>
    <row r="64">
      <c r="A64" s="4" t="inlineStr">
        <is>
          <t>E2E-09 · Connector allowance to checkout</t>
        </is>
      </c>
      <c r="B64" s="4" t="inlineStr">
        <is>
          <t>End-to-End</t>
        </is>
      </c>
      <c r="C64" s="4">
        <f>COUNTIF('End-to-End Workflows'!C:C,A64)</f>
        <v/>
      </c>
      <c r="D64" s="4">
        <f>COUNTIFS('End-to-End Workflows'!C:C,A64,'End-to-End Workflows'!L:L,"Pass")</f>
        <v/>
      </c>
      <c r="E64" s="4">
        <f>COUNTIFS('End-to-End Workflows'!C:C,A64,'End-to-End Workflows'!L:L,"Fail")</f>
        <v/>
      </c>
      <c r="F64" s="4">
        <f>COUNTIFS('End-to-End Workflows'!C:C,A64,'End-to-End Workflows'!L:L,"Blocked")</f>
        <v/>
      </c>
      <c r="G64" s="4">
        <f>COUNTIFS('End-to-End Workflows'!C:C,A64,'End-to-End Workflows'!L:L,"Not Run")</f>
        <v/>
      </c>
      <c r="H64" s="9">
        <f>IF((D64+E64)=0,0,D64/(D64+E64))</f>
        <v/>
      </c>
      <c r="I64" s="4">
        <f>COUNTIFS('End-to-End Workflows'!C:C,A64,'End-to-End Workflows'!M:M,"Critical")</f>
        <v/>
      </c>
      <c r="J64" s="4" t="inlineStr">
        <is>
          <t>docs/qa/regression/e2e/E2E-09-connectors.md</t>
        </is>
      </c>
    </row>
    <row r="65">
      <c r="A65" s="4" t="inlineStr">
        <is>
          <t>E2E-10 · Staff roles and two-step reset</t>
        </is>
      </c>
      <c r="B65" s="4" t="inlineStr">
        <is>
          <t>End-to-End</t>
        </is>
      </c>
      <c r="C65" s="4">
        <f>COUNTIF('End-to-End Workflows'!C:C,A65)</f>
        <v/>
      </c>
      <c r="D65" s="4">
        <f>COUNTIFS('End-to-End Workflows'!C:C,A65,'End-to-End Workflows'!L:L,"Pass")</f>
        <v/>
      </c>
      <c r="E65" s="4">
        <f>COUNTIFS('End-to-End Workflows'!C:C,A65,'End-to-End Workflows'!L:L,"Fail")</f>
        <v/>
      </c>
      <c r="F65" s="4">
        <f>COUNTIFS('End-to-End Workflows'!C:C,A65,'End-to-End Workflows'!L:L,"Blocked")</f>
        <v/>
      </c>
      <c r="G65" s="4">
        <f>COUNTIFS('End-to-End Workflows'!C:C,A65,'End-to-End Workflows'!L:L,"Not Run")</f>
        <v/>
      </c>
      <c r="H65" s="9">
        <f>IF((D65+E65)=0,0,D65/(D65+E65))</f>
        <v/>
      </c>
      <c r="I65" s="4">
        <f>COUNTIFS('End-to-End Workflows'!C:C,A65,'End-to-End Workflows'!M:M,"Critical")</f>
        <v/>
      </c>
      <c r="J65" s="4" t="inlineStr">
        <is>
          <t>docs/qa/regression/e2e/E2E-10-staff.md</t>
        </is>
      </c>
    </row>
    <row r="66">
      <c r="A66" s="4" t="inlineStr">
        <is>
          <t>E2E-11 · Tenant isolation</t>
        </is>
      </c>
      <c r="B66" s="4" t="inlineStr">
        <is>
          <t>End-to-End</t>
        </is>
      </c>
      <c r="C66" s="4">
        <f>COUNTIF('End-to-End Workflows'!C:C,A66)</f>
        <v/>
      </c>
      <c r="D66" s="4">
        <f>COUNTIFS('End-to-End Workflows'!C:C,A66,'End-to-End Workflows'!L:L,"Pass")</f>
        <v/>
      </c>
      <c r="E66" s="4">
        <f>COUNTIFS('End-to-End Workflows'!C:C,A66,'End-to-End Workflows'!L:L,"Fail")</f>
        <v/>
      </c>
      <c r="F66" s="4">
        <f>COUNTIFS('End-to-End Workflows'!C:C,A66,'End-to-End Workflows'!L:L,"Blocked")</f>
        <v/>
      </c>
      <c r="G66" s="4">
        <f>COUNTIFS('End-to-End Workflows'!C:C,A66,'End-to-End Workflows'!L:L,"Not Run")</f>
        <v/>
      </c>
      <c r="H66" s="9">
        <f>IF((D66+E66)=0,0,D66/(D66+E66))</f>
        <v/>
      </c>
      <c r="I66" s="4">
        <f>COUNTIFS('End-to-End Workflows'!C:C,A66,'End-to-End Workflows'!M:M,"Critical")</f>
        <v/>
      </c>
      <c r="J66" s="4" t="inlineStr">
        <is>
          <t>docs/qa/regression/e2e/E2E-11-isolation.md</t>
        </is>
      </c>
    </row>
    <row r="67">
      <c r="A67" s="4" t="inlineStr">
        <is>
          <t>E2E-12 · Enquiry from store to inbox</t>
        </is>
      </c>
      <c r="B67" s="4" t="inlineStr">
        <is>
          <t>End-to-End</t>
        </is>
      </c>
      <c r="C67" s="4">
        <f>COUNTIF('End-to-End Workflows'!C:C,A67)</f>
        <v/>
      </c>
      <c r="D67" s="4">
        <f>COUNTIFS('End-to-End Workflows'!C:C,A67,'End-to-End Workflows'!L:L,"Pass")</f>
        <v/>
      </c>
      <c r="E67" s="4">
        <f>COUNTIFS('End-to-End Workflows'!C:C,A67,'End-to-End Workflows'!L:L,"Fail")</f>
        <v/>
      </c>
      <c r="F67" s="4">
        <f>COUNTIFS('End-to-End Workflows'!C:C,A67,'End-to-End Workflows'!L:L,"Blocked")</f>
        <v/>
      </c>
      <c r="G67" s="4">
        <f>COUNTIFS('End-to-End Workflows'!C:C,A67,'End-to-End Workflows'!L:L,"Not Run")</f>
        <v/>
      </c>
      <c r="H67" s="9">
        <f>IF((D67+E67)=0,0,D67/(D67+E67))</f>
        <v/>
      </c>
      <c r="I67" s="4">
        <f>COUNTIFS('End-to-End Workflows'!C:C,A67,'End-to-End Workflows'!M:M,"Critical")</f>
        <v/>
      </c>
      <c r="J67" s="4" t="inlineStr">
        <is>
          <t>docs/qa/regression/e2e/E2E-12-enquiries.md</t>
        </is>
      </c>
    </row>
    <row r="68">
      <c r="A68" s="4" t="inlineStr">
        <is>
          <t>E2E-13 · Returns and refunds</t>
        </is>
      </c>
      <c r="B68" s="4" t="inlineStr">
        <is>
          <t>End-to-End</t>
        </is>
      </c>
      <c r="C68" s="4">
        <f>COUNTIF('End-to-End Workflows'!C:C,A68)</f>
        <v/>
      </c>
      <c r="D68" s="4">
        <f>COUNTIFS('End-to-End Workflows'!C:C,A68,'End-to-End Workflows'!L:L,"Pass")</f>
        <v/>
      </c>
      <c r="E68" s="4">
        <f>COUNTIFS('End-to-End Workflows'!C:C,A68,'End-to-End Workflows'!L:L,"Fail")</f>
        <v/>
      </c>
      <c r="F68" s="4">
        <f>COUNTIFS('End-to-End Workflows'!C:C,A68,'End-to-End Workflows'!L:L,"Blocked")</f>
        <v/>
      </c>
      <c r="G68" s="4">
        <f>COUNTIFS('End-to-End Workflows'!C:C,A68,'End-to-End Workflows'!L:L,"Not Run")</f>
        <v/>
      </c>
      <c r="H68" s="9">
        <f>IF((D68+E68)=0,0,D68/(D68+E68))</f>
        <v/>
      </c>
      <c r="I68" s="4">
        <f>COUNTIFS('End-to-End Workflows'!C:C,A68,'End-to-End Workflows'!M:M,"Critical")</f>
        <v/>
      </c>
      <c r="J68" s="4" t="inlineStr">
        <is>
          <t>docs/qa/regression/e2e/E2E-13-returns.md</t>
        </is>
      </c>
    </row>
    <row r="69">
      <c r="A69" s="4" t="inlineStr">
        <is>
          <t>E2E-14 · Offer consent, abandoned cart and unsubscribe</t>
        </is>
      </c>
      <c r="B69" s="4" t="inlineStr">
        <is>
          <t>End-to-End</t>
        </is>
      </c>
      <c r="C69" s="4">
        <f>COUNTIF('End-to-End Workflows'!C:C,A69)</f>
        <v/>
      </c>
      <c r="D69" s="4">
        <f>COUNTIFS('End-to-End Workflows'!C:C,A69,'End-to-End Workflows'!L:L,"Pass")</f>
        <v/>
      </c>
      <c r="E69" s="4">
        <f>COUNTIFS('End-to-End Workflows'!C:C,A69,'End-to-End Workflows'!L:L,"Fail")</f>
        <v/>
      </c>
      <c r="F69" s="4">
        <f>COUNTIFS('End-to-End Workflows'!C:C,A69,'End-to-End Workflows'!L:L,"Blocked")</f>
        <v/>
      </c>
      <c r="G69" s="4">
        <f>COUNTIFS('End-to-End Workflows'!C:C,A69,'End-to-End Workflows'!L:L,"Not Run")</f>
        <v/>
      </c>
      <c r="H69" s="9">
        <f>IF((D69+E69)=0,0,D69/(D69+E69))</f>
        <v/>
      </c>
      <c r="I69" s="4">
        <f>COUNTIFS('End-to-End Workflows'!C:C,A69,'End-to-End Workflows'!M:M,"Critical")</f>
        <v/>
      </c>
      <c r="J69" s="4" t="inlineStr">
        <is>
          <t>docs/qa/regression/e2e/E2E-14-abandoned.md</t>
        </is>
      </c>
    </row>
    <row r="70">
      <c r="A70" s="4" t="inlineStr">
        <is>
          <t>E2E-15 · Affiliate referral to commission</t>
        </is>
      </c>
      <c r="B70" s="4" t="inlineStr">
        <is>
          <t>End-to-End</t>
        </is>
      </c>
      <c r="C70" s="4">
        <f>COUNTIF('End-to-End Workflows'!C:C,A70)</f>
        <v/>
      </c>
      <c r="D70" s="4">
        <f>COUNTIFS('End-to-End Workflows'!C:C,A70,'End-to-End Workflows'!L:L,"Pass")</f>
        <v/>
      </c>
      <c r="E70" s="4">
        <f>COUNTIFS('End-to-End Workflows'!C:C,A70,'End-to-End Workflows'!L:L,"Fail")</f>
        <v/>
      </c>
      <c r="F70" s="4">
        <f>COUNTIFS('End-to-End Workflows'!C:C,A70,'End-to-End Workflows'!L:L,"Blocked")</f>
        <v/>
      </c>
      <c r="G70" s="4">
        <f>COUNTIFS('End-to-End Workflows'!C:C,A70,'End-to-End Workflows'!L:L,"Not Run")</f>
        <v/>
      </c>
      <c r="H70" s="9">
        <f>IF((D70+E70)=0,0,D70/(D70+E70))</f>
        <v/>
      </c>
      <c r="I70" s="4">
        <f>COUNTIFS('End-to-End Workflows'!C:C,A70,'End-to-End Workflows'!M:M,"Critical")</f>
        <v/>
      </c>
      <c r="J70" s="4" t="inlineStr">
        <is>
          <t>docs/qa/regression/e2e/E2E-15-affiliate.md</t>
        </is>
      </c>
    </row>
    <row r="71">
      <c r="A71" s="4" t="inlineStr">
        <is>
          <t>E2E-16 · Billing to subscriptions</t>
        </is>
      </c>
      <c r="B71" s="4" t="inlineStr">
        <is>
          <t>End-to-End</t>
        </is>
      </c>
      <c r="C71" s="4">
        <f>COUNTIF('End-to-End Workflows'!C:C,A71)</f>
        <v/>
      </c>
      <c r="D71" s="4">
        <f>COUNTIFS('End-to-End Workflows'!C:C,A71,'End-to-End Workflows'!L:L,"Pass")</f>
        <v/>
      </c>
      <c r="E71" s="4">
        <f>COUNTIFS('End-to-End Workflows'!C:C,A71,'End-to-End Workflows'!L:L,"Fail")</f>
        <v/>
      </c>
      <c r="F71" s="4">
        <f>COUNTIFS('End-to-End Workflows'!C:C,A71,'End-to-End Workflows'!L:L,"Blocked")</f>
        <v/>
      </c>
      <c r="G71" s="4">
        <f>COUNTIFS('End-to-End Workflows'!C:C,A71,'End-to-End Workflows'!L:L,"Not Run")</f>
        <v/>
      </c>
      <c r="H71" s="9">
        <f>IF((D71+E71)=0,0,D71/(D71+E71))</f>
        <v/>
      </c>
      <c r="I71" s="4">
        <f>COUNTIFS('End-to-End Workflows'!C:C,A71,'End-to-End Workflows'!M:M,"Critical")</f>
        <v/>
      </c>
      <c r="J71" s="4" t="inlineStr">
        <is>
          <t>docs/qa/regression/e2e/E2E-16-billing.md</t>
        </is>
      </c>
    </row>
    <row r="72">
      <c r="A72" s="4" t="inlineStr">
        <is>
          <t>E2E-17 · Shopper account and wishlist across devices</t>
        </is>
      </c>
      <c r="B72" s="4" t="inlineStr">
        <is>
          <t>End-to-End</t>
        </is>
      </c>
      <c r="C72" s="4">
        <f>COUNTIF('End-to-End Workflows'!C:C,A72)</f>
        <v/>
      </c>
      <c r="D72" s="4">
        <f>COUNTIFS('End-to-End Workflows'!C:C,A72,'End-to-End Workflows'!L:L,"Pass")</f>
        <v/>
      </c>
      <c r="E72" s="4">
        <f>COUNTIFS('End-to-End Workflows'!C:C,A72,'End-to-End Workflows'!L:L,"Fail")</f>
        <v/>
      </c>
      <c r="F72" s="4">
        <f>COUNTIFS('End-to-End Workflows'!C:C,A72,'End-to-End Workflows'!L:L,"Blocked")</f>
        <v/>
      </c>
      <c r="G72" s="4">
        <f>COUNTIFS('End-to-End Workflows'!C:C,A72,'End-to-End Workflows'!L:L,"Not Run")</f>
        <v/>
      </c>
      <c r="H72" s="9">
        <f>IF((D72+E72)=0,0,D72/(D72+E72))</f>
        <v/>
      </c>
      <c r="I72" s="4">
        <f>COUNTIFS('End-to-End Workflows'!C:C,A72,'End-to-End Workflows'!M:M,"Critical")</f>
        <v/>
      </c>
      <c r="J72" s="4" t="inlineStr">
        <is>
          <t>docs/qa/regression/e2e/E2E-17-account.md</t>
        </is>
      </c>
    </row>
    <row r="73">
      <c r="A73" s="4" t="inlineStr">
        <is>
          <t>E2E-18 · Storefront chrome and search (shop experience)</t>
        </is>
      </c>
      <c r="B73" s="4" t="inlineStr">
        <is>
          <t>End-to-End</t>
        </is>
      </c>
      <c r="C73" s="4">
        <f>COUNTIF('End-to-End Workflows'!C:C,A73)</f>
        <v/>
      </c>
      <c r="D73" s="4">
        <f>COUNTIFS('End-to-End Workflows'!C:C,A73,'End-to-End Workflows'!L:L,"Pass")</f>
        <v/>
      </c>
      <c r="E73" s="4">
        <f>COUNTIFS('End-to-End Workflows'!C:C,A73,'End-to-End Workflows'!L:L,"Fail")</f>
        <v/>
      </c>
      <c r="F73" s="4">
        <f>COUNTIFS('End-to-End Workflows'!C:C,A73,'End-to-End Workflows'!L:L,"Blocked")</f>
        <v/>
      </c>
      <c r="G73" s="4">
        <f>COUNTIFS('End-to-End Workflows'!C:C,A73,'End-to-End Workflows'!L:L,"Not Run")</f>
        <v/>
      </c>
      <c r="H73" s="9">
        <f>IF((D73+E73)=0,0,D73/(D73+E73))</f>
        <v/>
      </c>
      <c r="I73" s="4">
        <f>COUNTIFS('End-to-End Workflows'!C:C,A73,'End-to-End Workflows'!M:M,"Critical")</f>
        <v/>
      </c>
      <c r="J73" s="4" t="inlineStr">
        <is>
          <t>docs/qa/regression/e2e/E2E-18-storefront.md</t>
        </is>
      </c>
    </row>
  </sheetData>
  <conditionalFormatting sqref="E12:E73">
    <cfRule type="cellIs" priority="1" operator="greaterThan" dxfId="0">
      <formula>0</formula>
    </cfRule>
  </conditionalFormatting>
  <conditionalFormatting sqref="H12:H73">
    <cfRule type="expression" priority="2" dxfId="1">
      <formula>AND(D12+E12&gt;0,H12=1)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6" customWidth="1" min="3" max="3"/>
    <col width="18" customWidth="1" min="4" max="4"/>
    <col width="22" customWidth="1" min="5" max="5"/>
    <col width="38" customWidth="1" min="6" max="6"/>
    <col width="30" customWidth="1" min="7" max="7"/>
    <col width="28" customWidth="1" min="8" max="8"/>
    <col width="55" customWidth="1" min="9" max="9"/>
    <col width="48" customWidth="1" min="10" max="10"/>
    <col width="36" customWidth="1" min="11" max="11"/>
    <col width="12" customWidth="1" min="12" max="12"/>
    <col width="10" customWidth="1" min="13" max="13"/>
    <col width="18" customWidth="1" min="14" max="14"/>
    <col width="16" customWidth="1" min="15" max="15"/>
    <col width="13" customWidth="1" min="16" max="16"/>
    <col width="12" customWidth="1" min="17" max="17"/>
    <col width="34" customWidth="1" min="18" max="18"/>
    <col width="18" customWidth="1" min="19" max="19"/>
    <col width="9" customWidth="1" min="20" max="20"/>
    <col width="40" customWidth="1" min="21" max="21"/>
  </cols>
  <sheetData>
    <row r="1" ht="32" customHeight="1">
      <c r="A1" s="10" t="inlineStr">
        <is>
          <t>Test Case ID</t>
        </is>
      </c>
      <c r="B1" s="10" t="inlineStr">
        <is>
          <t>Application/Portal</t>
        </is>
      </c>
      <c r="C1" s="10" t="inlineStr">
        <is>
          <t>Module Name</t>
        </is>
      </c>
      <c r="D1" s="10" t="inlineStr">
        <is>
          <t>Submodule/Feature</t>
        </is>
      </c>
      <c r="E1" s="10" t="inlineStr">
        <is>
          <t>Functionality</t>
        </is>
      </c>
      <c r="F1" s="10" t="inlineStr">
        <is>
          <t>Test Scenario</t>
        </is>
      </c>
      <c r="G1" s="10" t="inlineStr">
        <is>
          <t>Preconditions</t>
        </is>
      </c>
      <c r="H1" s="10" t="inlineStr">
        <is>
          <t>Test Data</t>
        </is>
      </c>
      <c r="I1" s="10" t="inlineStr">
        <is>
          <t>Step-by-Step Instructions</t>
        </is>
      </c>
      <c r="J1" s="10" t="inlineStr">
        <is>
          <t>Expected Result</t>
        </is>
      </c>
      <c r="K1" s="10" t="inlineStr">
        <is>
          <t>Actual Result</t>
        </is>
      </c>
      <c r="L1" s="10" t="inlineStr">
        <is>
          <t>Status</t>
        </is>
      </c>
      <c r="M1" s="10" t="inlineStr">
        <is>
          <t>Priority</t>
        </is>
      </c>
      <c r="N1" s="10" t="inlineStr">
        <is>
          <t>Test Type</t>
        </is>
      </c>
      <c r="O1" s="10" t="inlineStr">
        <is>
          <t>Executed By</t>
        </is>
      </c>
      <c r="P1" s="10" t="inlineStr">
        <is>
          <t>Execution Date</t>
        </is>
      </c>
      <c r="Q1" s="10" t="inlineStr">
        <is>
          <t>Defect/Bug ID</t>
        </is>
      </c>
      <c r="R1" s="10" t="inlineStr">
        <is>
          <t>Remarks/Additional Notes</t>
        </is>
      </c>
      <c r="S1" s="10" t="inlineStr">
        <is>
          <t>Role</t>
        </is>
      </c>
      <c r="T1" s="10" t="inlineStr">
        <is>
          <t>Smoke Run</t>
        </is>
      </c>
      <c r="U1" s="10" t="inlineStr">
        <is>
          <t>Regression Script</t>
        </is>
      </c>
    </row>
    <row r="2">
      <c r="A2" s="11" t="inlineStr">
        <is>
          <t>VC-01-001</t>
        </is>
      </c>
      <c r="B2" s="11" t="inlineStr">
        <is>
          <t>Vendor CMS</t>
        </is>
      </c>
      <c r="C2" s="11" t="inlineStr">
        <is>
          <t>VC-01 · Sign in, first password and session</t>
        </is>
      </c>
      <c r="D2" s="11" t="inlineStr">
        <is>
          <t>First password</t>
        </is>
      </c>
      <c r="E2" s="11" t="inlineStr">
        <is>
          <t>Short password refused</t>
        </is>
      </c>
      <c r="F2" s="11" t="inlineStr">
        <is>
          <t>The set-password page refuses passwords under 10 characters.</t>
        </is>
      </c>
      <c r="G2" s="11" t="inlineStr">
        <is>
          <t>Owner invite link open (private window)</t>
        </is>
      </c>
      <c r="H2" s="11" t="inlineStr">
        <is>
          <t>Password "Short12"</t>
        </is>
      </c>
      <c r="I2" s="11" t="inlineStr">
        <is>
          <t>1. Type the short password in New Password and Confirm Password
2. Save
3. Verify the expected result.</t>
        </is>
      </c>
      <c r="J2" s="11" t="inlineStr">
        <is>
          <t>Refused with the minimum length message; the account stays without a password.</t>
        </is>
      </c>
      <c r="K2" s="11" t="inlineStr"/>
      <c r="L2" s="11" t="inlineStr">
        <is>
          <t>Not Run</t>
        </is>
      </c>
      <c r="M2" s="11" t="inlineStr">
        <is>
          <t>High</t>
        </is>
      </c>
      <c r="N2" s="11" t="inlineStr">
        <is>
          <t>Validation</t>
        </is>
      </c>
      <c r="O2" s="11" t="inlineStr"/>
      <c r="P2" s="11" t="inlineStr"/>
      <c r="Q2" s="11" t="inlineStr"/>
      <c r="R2" s="11" t="inlineStr">
        <is>
          <t>Also: Boundary</t>
        </is>
      </c>
      <c r="S2" s="11" t="inlineStr">
        <is>
          <t>Store owner</t>
        </is>
      </c>
      <c r="T2" s="11" t="inlineStr">
        <is>
          <t>No</t>
        </is>
      </c>
      <c r="U2" s="11" t="inlineStr">
        <is>
          <t>docs/qa/regression/vendor-cms/VC-01-sign-in.md</t>
        </is>
      </c>
    </row>
    <row r="3">
      <c r="A3" s="11" t="inlineStr">
        <is>
          <t>VC-01-002</t>
        </is>
      </c>
      <c r="B3" s="11" t="inlineStr">
        <is>
          <t>Vendor CMS</t>
        </is>
      </c>
      <c r="C3" s="11" t="inlineStr">
        <is>
          <t>VC-01 · Sign in, first password and session</t>
        </is>
      </c>
      <c r="D3" s="11" t="inlineStr">
        <is>
          <t>First password</t>
        </is>
      </c>
      <c r="E3" s="11" t="inlineStr">
        <is>
          <t>Mismatch</t>
        </is>
      </c>
      <c r="F3" s="11" t="inlineStr">
        <is>
          <t>New and confirm password must match.</t>
        </is>
      </c>
      <c r="G3" s="11" t="inlineStr">
        <is>
          <t>Invite link open</t>
        </is>
      </c>
      <c r="H3" s="11" t="inlineStr">
        <is>
          <t>"HomeOrbit@2026" and "HomeOrbit@2027"</t>
        </is>
      </c>
      <c r="I3" s="11" t="inlineStr">
        <is>
          <t>1. Type two different passwords
2. Save
3. Verify the expected result.</t>
        </is>
      </c>
      <c r="J3" s="11" t="inlineStr">
        <is>
          <t>Refused with a "passwords do not match" message.</t>
        </is>
      </c>
      <c r="K3" s="11" t="inlineStr"/>
      <c r="L3" s="11" t="inlineStr">
        <is>
          <t>Not Run</t>
        </is>
      </c>
      <c r="M3" s="11" t="inlineStr">
        <is>
          <t>Medium</t>
        </is>
      </c>
      <c r="N3" s="11" t="inlineStr">
        <is>
          <t>Validation</t>
        </is>
      </c>
      <c r="O3" s="11" t="inlineStr"/>
      <c r="P3" s="11" t="inlineStr"/>
      <c r="Q3" s="11" t="inlineStr"/>
      <c r="R3" s="11" t="inlineStr"/>
      <c r="S3" s="11" t="inlineStr">
        <is>
          <t>Store owner</t>
        </is>
      </c>
      <c r="T3" s="11" t="inlineStr">
        <is>
          <t>No</t>
        </is>
      </c>
      <c r="U3" s="11" t="inlineStr">
        <is>
          <t>docs/qa/regression/vendor-cms/VC-01-sign-in.md</t>
        </is>
      </c>
    </row>
    <row r="4">
      <c r="A4" s="11" t="inlineStr">
        <is>
          <t>VC-01-003</t>
        </is>
      </c>
      <c r="B4" s="11" t="inlineStr">
        <is>
          <t>Vendor CMS</t>
        </is>
      </c>
      <c r="C4" s="11" t="inlineStr">
        <is>
          <t>VC-01 · Sign in, first password and session</t>
        </is>
      </c>
      <c r="D4" s="11" t="inlineStr">
        <is>
          <t>First password</t>
        </is>
      </c>
      <c r="E4" s="11" t="inlineStr">
        <is>
          <t>Set password and land on dashboard</t>
        </is>
      </c>
      <c r="F4" s="11" t="inlineStr">
        <is>
          <t>A valid password signs the owner in.</t>
        </is>
      </c>
      <c r="G4" s="11" t="inlineStr">
        <is>
          <t>Invite link open</t>
        </is>
      </c>
      <c r="H4" s="11" t="inlineStr">
        <is>
          <t>Password "HomeOrbit@2026"</t>
        </is>
      </c>
      <c r="I4" s="11" t="inlineStr">
        <is>
          <t>1. Type it twice
2. Save
3. Verify the expected result.</t>
        </is>
      </c>
      <c r="J4" s="11" t="inlineStr">
        <is>
          <t>Signed in at the store dashboard: greeting, today's date, Home Orbit, View store and Add product.</t>
        </is>
      </c>
      <c r="K4" s="11" t="inlineStr"/>
      <c r="L4" s="11" t="inlineStr">
        <is>
          <t>Not Run</t>
        </is>
      </c>
      <c r="M4" s="11" t="inlineStr">
        <is>
          <t>Critical</t>
        </is>
      </c>
      <c r="N4" s="11" t="inlineStr">
        <is>
          <t>Functional</t>
        </is>
      </c>
      <c r="O4" s="11" t="inlineStr"/>
      <c r="P4" s="11" t="inlineStr"/>
      <c r="Q4" s="11" t="inlineStr"/>
      <c r="R4" s="11" t="inlineStr"/>
      <c r="S4" s="11" t="inlineStr">
        <is>
          <t>Store owner</t>
        </is>
      </c>
      <c r="T4" s="11" t="inlineStr">
        <is>
          <t>Yes</t>
        </is>
      </c>
      <c r="U4" s="11" t="inlineStr">
        <is>
          <t>docs/qa/regression/vendor-cms/VC-01-sign-in.md</t>
        </is>
      </c>
    </row>
    <row r="5">
      <c r="A5" s="11" t="inlineStr">
        <is>
          <t>VC-01-004</t>
        </is>
      </c>
      <c r="B5" s="11" t="inlineStr">
        <is>
          <t>Vendor CMS</t>
        </is>
      </c>
      <c r="C5" s="11" t="inlineStr">
        <is>
          <t>VC-01 · Sign in, first password and session</t>
        </is>
      </c>
      <c r="D5" s="11" t="inlineStr">
        <is>
          <t>First password</t>
        </is>
      </c>
      <c r="E5" s="11" t="inlineStr">
        <is>
          <t>Link works once</t>
        </is>
      </c>
      <c r="F5" s="11" t="inlineStr">
        <is>
          <t>An invite link cannot be reused.</t>
        </is>
      </c>
      <c r="G5" s="11" t="inlineStr">
        <is>
          <t>Password already set with the link</t>
        </is>
      </c>
      <c r="H5" s="11" t="inlineStr">
        <is>
          <t>Same link</t>
        </is>
      </c>
      <c r="I5" s="11" t="inlineStr">
        <is>
          <t>1. Open the same invite link again
2. Verify the expected result.</t>
        </is>
      </c>
      <c r="J5" s="11" t="inlineStr">
        <is>
          <t>The link is refused as used or expired.</t>
        </is>
      </c>
      <c r="K5" s="11" t="inlineStr"/>
      <c r="L5" s="11" t="inlineStr">
        <is>
          <t>Not Run</t>
        </is>
      </c>
      <c r="M5" s="11" t="inlineStr">
        <is>
          <t>High</t>
        </is>
      </c>
      <c r="N5" s="11" t="inlineStr">
        <is>
          <t>Security/Permissions</t>
        </is>
      </c>
      <c r="O5" s="11" t="inlineStr"/>
      <c r="P5" s="11" t="inlineStr"/>
      <c r="Q5" s="11" t="inlineStr"/>
      <c r="R5" s="11" t="inlineStr"/>
      <c r="S5" s="11" t="inlineStr">
        <is>
          <t>Store owner</t>
        </is>
      </c>
      <c r="T5" s="11" t="inlineStr">
        <is>
          <t>No</t>
        </is>
      </c>
      <c r="U5" s="11" t="inlineStr">
        <is>
          <t>docs/qa/regression/vendor-cms/VC-01-sign-in.md</t>
        </is>
      </c>
    </row>
    <row r="6">
      <c r="A6" s="11" t="inlineStr">
        <is>
          <t>VC-01-005</t>
        </is>
      </c>
      <c r="B6" s="11" t="inlineStr">
        <is>
          <t>Vendor CMS</t>
        </is>
      </c>
      <c r="C6" s="11" t="inlineStr">
        <is>
          <t>VC-01 · Sign in, first password and session</t>
        </is>
      </c>
      <c r="D6" s="11" t="inlineStr">
        <is>
          <t>Sign in</t>
        </is>
      </c>
      <c r="E6" s="11" t="inlineStr">
        <is>
          <t>Owner signs in without a code</t>
        </is>
      </c>
      <c r="F6" s="11" t="inlineStr">
        <is>
          <t>Two-step is optional for store staff.</t>
        </is>
      </c>
      <c r="G6" s="11" t="inlineStr">
        <is>
          <t>Owner has not set up two-step</t>
        </is>
      </c>
      <c r="H6" s="11" t="inlineStr">
        <is>
          <t>Owner email and password</t>
        </is>
      </c>
      <c r="I6" s="11" t="inlineStr">
        <is>
          <t>1. Sign out
2. Sign in with email and password
3. Verify the expected result.</t>
        </is>
      </c>
      <c r="J6" s="11" t="inlineStr">
        <is>
          <t>The dashboard opens without a code step.</t>
        </is>
      </c>
      <c r="K6" s="11" t="inlineStr"/>
      <c r="L6" s="11" t="inlineStr">
        <is>
          <t>Not Run</t>
        </is>
      </c>
      <c r="M6" s="11" t="inlineStr">
        <is>
          <t>High</t>
        </is>
      </c>
      <c r="N6" s="11" t="inlineStr">
        <is>
          <t>Functional</t>
        </is>
      </c>
      <c r="O6" s="11" t="inlineStr"/>
      <c r="P6" s="11" t="inlineStr"/>
      <c r="Q6" s="11" t="inlineStr"/>
      <c r="R6" s="11" t="inlineStr"/>
      <c r="S6" s="11" t="inlineStr">
        <is>
          <t>Store owner</t>
        </is>
      </c>
      <c r="T6" s="11" t="inlineStr">
        <is>
          <t>No</t>
        </is>
      </c>
      <c r="U6" s="11" t="inlineStr">
        <is>
          <t>docs/qa/regression/vendor-cms/VC-01-sign-in.md</t>
        </is>
      </c>
    </row>
    <row r="7">
      <c r="A7" s="11" t="inlineStr">
        <is>
          <t>VC-01-006</t>
        </is>
      </c>
      <c r="B7" s="11" t="inlineStr">
        <is>
          <t>Vendor CMS</t>
        </is>
      </c>
      <c r="C7" s="11" t="inlineStr">
        <is>
          <t>VC-01 · Sign in, first password and session</t>
        </is>
      </c>
      <c r="D7" s="11" t="inlineStr">
        <is>
          <t>Sign in</t>
        </is>
      </c>
      <c r="E7" s="11" t="inlineStr">
        <is>
          <t>Optional two-step</t>
        </is>
      </c>
      <c r="F7" s="11" t="inlineStr">
        <is>
          <t>A store owner can turn on two-step and is then asked for the code.</t>
        </is>
      </c>
      <c r="G7" s="11" t="inlineStr">
        <is>
          <t>Owner signed in</t>
        </is>
      </c>
      <c r="H7" s="11" t="inlineStr">
        <is>
          <t>An authenticator app</t>
        </is>
      </c>
      <c r="I7" s="11" t="inlineStr">
        <is>
          <t>1. Open your account (top bar name)
2. Set up two-step sign-in with the app
3. Sign out and in
4. Verify the expected result.</t>
        </is>
      </c>
      <c r="J7" s="11" t="inlineStr">
        <is>
          <t>Step 2 of 2 asks for the code; turning it off again is possible for store staff.</t>
        </is>
      </c>
      <c r="K7" s="11" t="inlineStr"/>
      <c r="L7" s="11" t="inlineStr">
        <is>
          <t>Not Run</t>
        </is>
      </c>
      <c r="M7" s="11" t="inlineStr">
        <is>
          <t>Medium</t>
        </is>
      </c>
      <c r="N7" s="11" t="inlineStr">
        <is>
          <t>Security/Permissions</t>
        </is>
      </c>
      <c r="O7" s="11" t="inlineStr"/>
      <c r="P7" s="11" t="inlineStr"/>
      <c r="Q7" s="11" t="inlineStr"/>
      <c r="R7" s="11" t="inlineStr"/>
      <c r="S7" s="11" t="inlineStr">
        <is>
          <t>Store owner</t>
        </is>
      </c>
      <c r="T7" s="11" t="inlineStr">
        <is>
          <t>No</t>
        </is>
      </c>
      <c r="U7" s="11" t="inlineStr">
        <is>
          <t>docs/qa/regression/vendor-cms/VC-01-sign-in.md</t>
        </is>
      </c>
    </row>
    <row r="8">
      <c r="A8" s="11" t="inlineStr">
        <is>
          <t>VC-01-007</t>
        </is>
      </c>
      <c r="B8" s="11" t="inlineStr">
        <is>
          <t>Vendor CMS</t>
        </is>
      </c>
      <c r="C8" s="11" t="inlineStr">
        <is>
          <t>VC-01 · Sign in, first password and session</t>
        </is>
      </c>
      <c r="D8" s="11" t="inlineStr">
        <is>
          <t>Sign in</t>
        </is>
      </c>
      <c r="E8" s="11" t="inlineStr">
        <is>
          <t>Wrong password</t>
        </is>
      </c>
      <c r="F8" s="11" t="inlineStr">
        <is>
          <t>A wrong password is refused.</t>
        </is>
      </c>
      <c r="G8" s="11" t="inlineStr">
        <is>
          <t>Signed out</t>
        </is>
      </c>
      <c r="H8" s="11" t="inlineStr">
        <is>
          <t>Wrong password</t>
        </is>
      </c>
      <c r="I8" s="11" t="inlineStr">
        <is>
          <t>1. Sign in with the wrong password
2. Verify the expected result.</t>
        </is>
      </c>
      <c r="J8" s="11" t="inlineStr">
        <is>
          <t>"The email or password provided is incorrect."</t>
        </is>
      </c>
      <c r="K8" s="11" t="inlineStr"/>
      <c r="L8" s="11" t="inlineStr">
        <is>
          <t>Not Run</t>
        </is>
      </c>
      <c r="M8" s="11" t="inlineStr">
        <is>
          <t>High</t>
        </is>
      </c>
      <c r="N8" s="11" t="inlineStr">
        <is>
          <t>Negative</t>
        </is>
      </c>
      <c r="O8" s="11" t="inlineStr"/>
      <c r="P8" s="11" t="inlineStr"/>
      <c r="Q8" s="11" t="inlineStr"/>
      <c r="R8" s="11" t="inlineStr"/>
      <c r="S8" s="11" t="inlineStr">
        <is>
          <t>Store owner</t>
        </is>
      </c>
      <c r="T8" s="11" t="inlineStr">
        <is>
          <t>No</t>
        </is>
      </c>
      <c r="U8" s="11" t="inlineStr">
        <is>
          <t>docs/qa/regression/vendor-cms/VC-01-sign-in.md</t>
        </is>
      </c>
    </row>
    <row r="9">
      <c r="A9" s="11" t="inlineStr">
        <is>
          <t>VC-02-001</t>
        </is>
      </c>
      <c r="B9" s="11" t="inlineStr">
        <is>
          <t>Vendor CMS</t>
        </is>
      </c>
      <c r="C9" s="11" t="inlineStr">
        <is>
          <t>VC-02 · Store dashboard and navigation</t>
        </is>
      </c>
      <c r="D9" s="11" t="inlineStr">
        <is>
          <t>Header</t>
        </is>
      </c>
      <c r="E9" s="11" t="inlineStr">
        <is>
          <t>Greeting and actions</t>
        </is>
      </c>
      <c r="F9" s="11" t="inlineStr">
        <is>
          <t>The dashboard header matches the wireframe.</t>
        </is>
      </c>
      <c r="G9" s="11" t="inlineStr">
        <is>
          <t>Signed in as Home Orbit's owner (or super admin with Manage store on Home Orbit)</t>
        </is>
      </c>
      <c r="H9" s="11" t="inlineStr">
        <is>
          <t>—</t>
        </is>
      </c>
      <c r="I9" s="11" t="inlineStr">
        <is>
          <t>1. Open http://localhost:3000/admin
2. Verify the expected result.</t>
        </is>
      </c>
      <c r="J9" s="11" t="inlineStr">
        <is>
          <t>"Good morning/afternoon/evening", today's date and Home Orbit, Import CSV (or View store) and Add product; "Your store isn't live yet" while a draft.</t>
        </is>
      </c>
      <c r="K9" s="11" t="inlineStr">
        <is>
          <t>"Good morning, Platform", Sat 10 Oct · Home Orbit, Import CSV, Add product, "Your store isn't live yet…"; figures Orders today 1, To ship 8, New enquiries 1.</t>
        </is>
      </c>
      <c r="L9" s="11" t="inlineStr">
        <is>
          <t>Pass</t>
        </is>
      </c>
      <c r="M9" s="11" t="inlineStr">
        <is>
          <t>High</t>
        </is>
      </c>
      <c r="N9" s="11" t="inlineStr">
        <is>
          <t>UI/UX</t>
        </is>
      </c>
      <c r="O9" s="11" t="inlineStr">
        <is>
          <t>Claude (Claude in Chrome)</t>
        </is>
      </c>
      <c r="P9" s="11" t="inlineStr">
        <is>
          <t>2026-10-10</t>
        </is>
      </c>
      <c r="Q9" s="11" t="inlineStr"/>
      <c r="R9" s="11" t="inlineStr">
        <is>
          <t>Run as super admin with Manage store.</t>
        </is>
      </c>
      <c r="S9" s="11" t="inlineStr">
        <is>
          <t>Store owner</t>
        </is>
      </c>
      <c r="T9" s="11" t="inlineStr">
        <is>
          <t>Yes</t>
        </is>
      </c>
      <c r="U9" s="11" t="inlineStr">
        <is>
          <t>docs/qa/regression/vendor-cms/VC-02-dashboard.md</t>
        </is>
      </c>
    </row>
    <row r="10">
      <c r="A10" s="11" t="inlineStr">
        <is>
          <t>VC-02-002</t>
        </is>
      </c>
      <c r="B10" s="11" t="inlineStr">
        <is>
          <t>Vendor CMS</t>
        </is>
      </c>
      <c r="C10" s="11" t="inlineStr">
        <is>
          <t>VC-02 · Store dashboard and navigation</t>
        </is>
      </c>
      <c r="D10" s="11" t="inlineStr">
        <is>
          <t>Menu</t>
        </is>
      </c>
      <c r="E10" s="11" t="inlineStr">
        <is>
          <t>Groups and plan meter</t>
        </is>
      </c>
      <c r="F10" s="11" t="inlineStr">
        <is>
          <t>The menu has the store groups and the plan usage.</t>
        </is>
      </c>
      <c r="G10" s="11" t="inlineStr">
        <is>
          <t>Signed in as Home Orbit's owner (or super admin with Manage store on Home Orbit)</t>
        </is>
      </c>
      <c r="H10" s="11" t="inlineStr">
        <is>
          <t>—</t>
        </is>
      </c>
      <c r="I10" s="11" t="inlineStr">
        <is>
          <t>1. Read the left menu
2. Verify the expected result.</t>
        </is>
      </c>
      <c r="J10" s="11" t="inlineStr">
        <is>
          <t>Dashboard, Catalog, Sales, Marketing, Content, Store, Insights; Products 110 / 500 and the plan at the foot; no Vendors or Plans.</t>
        </is>
      </c>
      <c r="K10" s="11" t="inlineStr">
        <is>
          <t>Menu: Dashboard; Catalog; Sales; Marketing; Content; Store; Insights; Products 110 / 500 Starter plan; no Vendors or Plans.</t>
        </is>
      </c>
      <c r="L10" s="11" t="inlineStr">
        <is>
          <t>Pass</t>
        </is>
      </c>
      <c r="M10" s="11" t="inlineStr">
        <is>
          <t>High</t>
        </is>
      </c>
      <c r="N10" s="11" t="inlineStr">
        <is>
          <t>UI/UX</t>
        </is>
      </c>
      <c r="O10" s="11" t="inlineStr">
        <is>
          <t>Claude (Claude in Chrome)</t>
        </is>
      </c>
      <c r="P10" s="11" t="inlineStr">
        <is>
          <t>2026-10-10</t>
        </is>
      </c>
      <c r="Q10" s="11" t="inlineStr"/>
      <c r="R10" s="11" t="inlineStr">
        <is>
          <t>Also: Security/Permissions</t>
        </is>
      </c>
      <c r="S10" s="11" t="inlineStr">
        <is>
          <t>Store owner</t>
        </is>
      </c>
      <c r="T10" s="11" t="inlineStr">
        <is>
          <t>Yes</t>
        </is>
      </c>
      <c r="U10" s="11" t="inlineStr">
        <is>
          <t>docs/qa/regression/vendor-cms/VC-02-dashboard.md</t>
        </is>
      </c>
    </row>
    <row r="11">
      <c r="A11" s="11" t="inlineStr">
        <is>
          <t>VC-02-003</t>
        </is>
      </c>
      <c r="B11" s="11" t="inlineStr">
        <is>
          <t>Vendor CMS</t>
        </is>
      </c>
      <c r="C11" s="11" t="inlineStr">
        <is>
          <t>VC-02 · Store dashboard and navigation</t>
        </is>
      </c>
      <c r="D11" s="11" t="inlineStr">
        <is>
          <t>Menu</t>
        </is>
      </c>
      <c r="E11" s="11" t="inlineStr">
        <is>
          <t>Collapse persists</t>
        </is>
      </c>
      <c r="F11" s="11" t="inlineStr">
        <is>
          <t>The collapsed menu stays collapsed after reload.</t>
        </is>
      </c>
      <c r="G11" s="11" t="inlineStr">
        <is>
          <t>Signed in as Home Orbit's owner (or super admin with Manage store on Home Orbit)</t>
        </is>
      </c>
      <c r="H11" s="11" t="inlineStr">
        <is>
          <t>—</t>
        </is>
      </c>
      <c r="I11" s="11" t="inlineStr">
        <is>
          <t>1. Press the collapse button at the bottom of the menu
2. Reload
3. Verify the expected result.</t>
        </is>
      </c>
      <c r="J11" s="11" t="inlineStr">
        <is>
          <t>The menu shows icons only (names on hover) and stays collapsed after reload.</t>
        </is>
      </c>
      <c r="K11" s="11" t="inlineStr"/>
      <c r="L11" s="11" t="inlineStr">
        <is>
          <t>Not Run</t>
        </is>
      </c>
      <c r="M11" s="11" t="inlineStr">
        <is>
          <t>Low</t>
        </is>
      </c>
      <c r="N11" s="11" t="inlineStr">
        <is>
          <t>Data persistence</t>
        </is>
      </c>
      <c r="O11" s="11" t="inlineStr"/>
      <c r="P11" s="11" t="inlineStr"/>
      <c r="Q11" s="11" t="inlineStr"/>
      <c r="R11" s="11" t="inlineStr">
        <is>
          <t>Also: UI/UX</t>
        </is>
      </c>
      <c r="S11" s="11" t="inlineStr">
        <is>
          <t>Store owner</t>
        </is>
      </c>
      <c r="T11" s="11" t="inlineStr">
        <is>
          <t>No</t>
        </is>
      </c>
      <c r="U11" s="11" t="inlineStr">
        <is>
          <t>docs/qa/regression/vendor-cms/VC-02-dashboard.md</t>
        </is>
      </c>
    </row>
    <row r="12">
      <c r="A12" s="11" t="inlineStr">
        <is>
          <t>VC-02-004</t>
        </is>
      </c>
      <c r="B12" s="11" t="inlineStr">
        <is>
          <t>Vendor CMS</t>
        </is>
      </c>
      <c r="C12" s="11" t="inlineStr">
        <is>
          <t>VC-02 · Store dashboard and navigation</t>
        </is>
      </c>
      <c r="D12" s="11" t="inlineStr">
        <is>
          <t>Top bar</t>
        </is>
      </c>
      <c r="E12" s="11" t="inlineStr">
        <is>
          <t>Search with Ctrl K</t>
        </is>
      </c>
      <c r="F12" s="11" t="inlineStr">
        <is>
          <t>The top bar search jumps to products and other records.</t>
        </is>
      </c>
      <c r="G12" s="11" t="inlineStr">
        <is>
          <t>Signed in as Home Orbit's owner (or super admin with Manage store on Home Orbit)</t>
        </is>
      </c>
      <c r="H12" s="11" t="inlineStr">
        <is>
          <t>Search "soap"</t>
        </is>
      </c>
      <c r="I12" s="11" t="inlineStr">
        <is>
          <t>1. Press Ctrl K
2. Type soap
3. Press Enter
4. Verify the expected result.</t>
        </is>
      </c>
      <c r="J12" s="11" t="inlineStr">
        <is>
          <t>Products opens filtered to soap dishes; arrow keys could pick Enquiries or Pages instead.</t>
        </is>
      </c>
      <c r="K12" s="11" t="inlineStr"/>
      <c r="L12" s="11" t="inlineStr">
        <is>
          <t>Not Run</t>
        </is>
      </c>
      <c r="M12" s="11" t="inlineStr">
        <is>
          <t>Medium</t>
        </is>
      </c>
      <c r="N12" s="11" t="inlineStr">
        <is>
          <t>Functional</t>
        </is>
      </c>
      <c r="O12" s="11" t="inlineStr"/>
      <c r="P12" s="11" t="inlineStr"/>
      <c r="Q12" s="11" t="inlineStr"/>
      <c r="R12" s="11" t="inlineStr"/>
      <c r="S12" s="11" t="inlineStr">
        <is>
          <t>Store owner</t>
        </is>
      </c>
      <c r="T12" s="11" t="inlineStr">
        <is>
          <t>No</t>
        </is>
      </c>
      <c r="U12" s="11" t="inlineStr">
        <is>
          <t>docs/qa/regression/vendor-cms/VC-02-dashboard.md</t>
        </is>
      </c>
    </row>
    <row r="13">
      <c r="A13" s="11" t="inlineStr">
        <is>
          <t>VC-02-005</t>
        </is>
      </c>
      <c r="B13" s="11" t="inlineStr">
        <is>
          <t>Vendor CMS</t>
        </is>
      </c>
      <c r="C13" s="11" t="inlineStr">
        <is>
          <t>VC-02 · Store dashboard and navigation</t>
        </is>
      </c>
      <c r="D13" s="11" t="inlineStr">
        <is>
          <t>Top bar</t>
        </is>
      </c>
      <c r="E13" s="11" t="inlineStr">
        <is>
          <t>Enquiry bell</t>
        </is>
      </c>
      <c r="F13" s="11" t="inlineStr">
        <is>
          <t>The bell counts new enquiries.</t>
        </is>
      </c>
      <c r="G13" s="11" t="inlineStr">
        <is>
          <t>Signed in as Home Orbit's owner (or super admin with Manage store on Home Orbit); new enquiries exist</t>
        </is>
      </c>
      <c r="H13" s="11" t="inlineStr">
        <is>
          <t>—</t>
        </is>
      </c>
      <c r="I13" s="11" t="inlineStr">
        <is>
          <t>1. Read the bell number
2. Compare with Enquiries → New
3. Verify the expected result.</t>
        </is>
      </c>
      <c r="J13" s="11" t="inlineStr">
        <is>
          <t>The numbers match; the bell opens the inbox.</t>
        </is>
      </c>
      <c r="K13" s="11" t="inlineStr"/>
      <c r="L13" s="11" t="inlineStr">
        <is>
          <t>Not Run</t>
        </is>
      </c>
      <c r="M13" s="11" t="inlineStr">
        <is>
          <t>Medium</t>
        </is>
      </c>
      <c r="N13" s="11" t="inlineStr">
        <is>
          <t>Integration</t>
        </is>
      </c>
      <c r="O13" s="11" t="inlineStr"/>
      <c r="P13" s="11" t="inlineStr"/>
      <c r="Q13" s="11" t="inlineStr"/>
      <c r="R13" s="11" t="inlineStr"/>
      <c r="S13" s="11" t="inlineStr">
        <is>
          <t>Store owner</t>
        </is>
      </c>
      <c r="T13" s="11" t="inlineStr">
        <is>
          <t>No</t>
        </is>
      </c>
      <c r="U13" s="11" t="inlineStr">
        <is>
          <t>docs/qa/regression/vendor-cms/VC-02-dashboard.md</t>
        </is>
      </c>
    </row>
    <row r="14">
      <c r="A14" s="11" t="inlineStr">
        <is>
          <t>VC-02-006</t>
        </is>
      </c>
      <c r="B14" s="11" t="inlineStr">
        <is>
          <t>Vendor CMS</t>
        </is>
      </c>
      <c r="C14" s="11" t="inlineStr">
        <is>
          <t>VC-02 · Store dashboard and navigation</t>
        </is>
      </c>
      <c r="D14" s="11" t="inlineStr">
        <is>
          <t>Checklist</t>
        </is>
      </c>
      <c r="E14" s="11" t="inlineStr">
        <is>
          <t>Launch checklist</t>
        </is>
      </c>
      <c r="F14" s="11" t="inlineStr">
        <is>
          <t>The checklist shows the wireframe steps with Open links.</t>
        </is>
      </c>
      <c r="G14" s="11" t="inlineStr">
        <is>
          <t>Signed in as Home Orbit's owner (or super admin with Manage store on Home Orbit)</t>
        </is>
      </c>
      <c r="H14" s="11" t="inlineStr">
        <is>
          <t>—</t>
        </is>
      </c>
      <c r="I14" s="11" t="inlineStr">
        <is>
          <t>1. Read the Launch checklist
2. Press Open on a step to do
3. Verify the expected result.</t>
        </is>
      </c>
      <c r="J14" s="11" t="inlineStr">
        <is>
          <t>Store name and logo, GST details, Razorpay connected, Shipping zones, catalogue and content steps; each open step has Open that goes to the right screen.</t>
        </is>
      </c>
      <c r="K14" s="11" t="inlineStr"/>
      <c r="L14" s="11" t="inlineStr">
        <is>
          <t>Not Run</t>
        </is>
      </c>
      <c r="M14" s="11" t="inlineStr">
        <is>
          <t>High</t>
        </is>
      </c>
      <c r="N14" s="11" t="inlineStr">
        <is>
          <t>Functional</t>
        </is>
      </c>
      <c r="O14" s="11" t="inlineStr"/>
      <c r="P14" s="11" t="inlineStr"/>
      <c r="Q14" s="11" t="inlineStr"/>
      <c r="R14" s="11" t="inlineStr"/>
      <c r="S14" s="11" t="inlineStr">
        <is>
          <t>Store owner</t>
        </is>
      </c>
      <c r="T14" s="11" t="inlineStr">
        <is>
          <t>No</t>
        </is>
      </c>
      <c r="U14" s="11" t="inlineStr">
        <is>
          <t>docs/qa/regression/vendor-cms/VC-02-dashboard.md</t>
        </is>
      </c>
    </row>
    <row r="15">
      <c r="A15" s="11" t="inlineStr">
        <is>
          <t>VC-02-007</t>
        </is>
      </c>
      <c r="B15" s="11" t="inlineStr">
        <is>
          <t>Vendor CMS</t>
        </is>
      </c>
      <c r="C15" s="11" t="inlineStr">
        <is>
          <t>VC-02 · Store dashboard and navigation</t>
        </is>
      </c>
      <c r="D15" s="11" t="inlineStr">
        <is>
          <t>Checklist</t>
        </is>
      </c>
      <c r="E15" s="11" t="inlineStr">
        <is>
          <t>Step ticks when done</t>
        </is>
      </c>
      <c r="F15" s="11" t="inlineStr">
        <is>
          <t>Completing a step ticks it.</t>
        </is>
      </c>
      <c r="G15" s="11" t="inlineStr">
        <is>
          <t>Signed in as Home Orbit's owner (or super admin with Manage store on Home Orbit)</t>
        </is>
      </c>
      <c r="H15" s="11" t="inlineStr">
        <is>
          <t>Save contact details (VC-03)</t>
        </is>
      </c>
      <c r="I15" s="11" t="inlineStr">
        <is>
          <t>1. Note the checklist count
2. Complete a step
3. Reload the dashboard
4. Verify the expected result.</t>
        </is>
      </c>
      <c r="J15" s="11" t="inlineStr">
        <is>
          <t>That step is ticked and the count goes up.</t>
        </is>
      </c>
      <c r="K15" s="11" t="inlineStr"/>
      <c r="L15" s="11" t="inlineStr">
        <is>
          <t>Not Run</t>
        </is>
      </c>
      <c r="M15" s="11" t="inlineStr">
        <is>
          <t>Medium</t>
        </is>
      </c>
      <c r="N15" s="11" t="inlineStr">
        <is>
          <t>Integration</t>
        </is>
      </c>
      <c r="O15" s="11" t="inlineStr"/>
      <c r="P15" s="11" t="inlineStr"/>
      <c r="Q15" s="11" t="inlineStr"/>
      <c r="R15" s="11" t="inlineStr"/>
      <c r="S15" s="11" t="inlineStr">
        <is>
          <t>Store owner</t>
        </is>
      </c>
      <c r="T15" s="11" t="inlineStr">
        <is>
          <t>No</t>
        </is>
      </c>
      <c r="U15" s="11" t="inlineStr">
        <is>
          <t>docs/qa/regression/vendor-cms/VC-02-dashboard.md</t>
        </is>
      </c>
    </row>
    <row r="16">
      <c r="A16" s="11" t="inlineStr">
        <is>
          <t>VC-02-008</t>
        </is>
      </c>
      <c r="B16" s="11" t="inlineStr">
        <is>
          <t>Vendor CMS</t>
        </is>
      </c>
      <c r="C16" s="11" t="inlineStr">
        <is>
          <t>VC-02 · Store dashboard and navigation</t>
        </is>
      </c>
      <c r="D16" s="11" t="inlineStr">
        <is>
          <t>Figures</t>
        </is>
      </c>
      <c r="E16" s="11" t="inlineStr">
        <is>
          <t>Figures and charts</t>
        </is>
      </c>
      <c r="F16" s="11" t="inlineStr">
        <is>
          <t>Figures and charts use real orders.</t>
        </is>
      </c>
      <c r="G16" s="11" t="inlineStr">
        <is>
          <t>Signed in as Home Orbit's owner (or super admin with Manage store on Home Orbit); store selling: `pnpm demo:selling home-orbit` run; `pnpm demo:orders home-orbit`</t>
        </is>
      </c>
      <c r="H16" s="11" t="inlineStr">
        <is>
          <t>—</t>
        </is>
      </c>
      <c r="I16" s="11" t="inlineStr">
        <is>
          <t>1. Read Orders today, Sales today, To ship, New enquiries, Low stock
2. Read Sales, last 14 days and Orders to ship
3. Verify the expected result.</t>
        </is>
      </c>
      <c r="J16" s="11" t="inlineStr">
        <is>
          <t>Figures show numbers; each figure opens its list; the chart has bars; Orders to ship lists waiting orders with Paid or COD.</t>
        </is>
      </c>
      <c r="K16" s="11" t="inlineStr"/>
      <c r="L16" s="11" t="inlineStr">
        <is>
          <t>Not Run</t>
        </is>
      </c>
      <c r="M16" s="11" t="inlineStr">
        <is>
          <t>High</t>
        </is>
      </c>
      <c r="N16" s="11" t="inlineStr">
        <is>
          <t>Integration</t>
        </is>
      </c>
      <c r="O16" s="11" t="inlineStr"/>
      <c r="P16" s="11" t="inlineStr"/>
      <c r="Q16" s="11" t="inlineStr"/>
      <c r="R16" s="11" t="inlineStr"/>
      <c r="S16" s="11" t="inlineStr">
        <is>
          <t>Store owner</t>
        </is>
      </c>
      <c r="T16" s="11" t="inlineStr">
        <is>
          <t>No</t>
        </is>
      </c>
      <c r="U16" s="11" t="inlineStr">
        <is>
          <t>docs/qa/regression/vendor-cms/VC-02-dashboard.md</t>
        </is>
      </c>
    </row>
    <row r="17">
      <c r="A17" s="11" t="inlineStr">
        <is>
          <t>VC-02-009</t>
        </is>
      </c>
      <c r="B17" s="11" t="inlineStr">
        <is>
          <t>Vendor CMS</t>
        </is>
      </c>
      <c r="C17" s="11" t="inlineStr">
        <is>
          <t>VC-02 · Store dashboard and navigation</t>
        </is>
      </c>
      <c r="D17" s="11" t="inlineStr">
        <is>
          <t>Lists</t>
        </is>
      </c>
      <c r="E17" s="11" t="inlineStr">
        <is>
          <t>Needs attention, quick actions, activity</t>
        </is>
      </c>
      <c r="F17" s="11" t="inlineStr">
        <is>
          <t>The lower cards show the store's state.</t>
        </is>
      </c>
      <c r="G17" s="11" t="inlineStr">
        <is>
          <t>Signed in as Home Orbit's owner (or super admin with Manage store on Home Orbit)</t>
        </is>
      </c>
      <c r="H17" s="11" t="inlineStr">
        <is>
          <t>—</t>
        </is>
      </c>
      <c r="I17" s="11" t="inlineStr">
        <is>
          <t>1. Read Needs your attention, Quick actions, Recent activity, Coming up and the plan card
2. Verify the expected result.</t>
        </is>
      </c>
      <c r="J17" s="11" t="inlineStr">
        <is>
          <t>Policy pages still drafts are listed; Quick actions has Add product, Create page, Landing page, Upload media, Add category, Log an enquiry, Add dealer, Invite staff, Store settings; Recent activity shows who and when.</t>
        </is>
      </c>
      <c r="K17" s="11" t="inlineStr"/>
      <c r="L17" s="11" t="inlineStr">
        <is>
          <t>Not Run</t>
        </is>
      </c>
      <c r="M17" s="11" t="inlineStr">
        <is>
          <t>Medium</t>
        </is>
      </c>
      <c r="N17" s="11" t="inlineStr">
        <is>
          <t>UI/UX</t>
        </is>
      </c>
      <c r="O17" s="11" t="inlineStr"/>
      <c r="P17" s="11" t="inlineStr"/>
      <c r="Q17" s="11" t="inlineStr"/>
      <c r="R17" s="11" t="inlineStr"/>
      <c r="S17" s="11" t="inlineStr">
        <is>
          <t>Store owner</t>
        </is>
      </c>
      <c r="T17" s="11" t="inlineStr">
        <is>
          <t>No</t>
        </is>
      </c>
      <c r="U17" s="11" t="inlineStr">
        <is>
          <t>docs/qa/regression/vendor-cms/VC-02-dashboard.md</t>
        </is>
      </c>
    </row>
    <row r="18">
      <c r="A18" s="11" t="inlineStr">
        <is>
          <t>VC-02-010</t>
        </is>
      </c>
      <c r="B18" s="11" t="inlineStr">
        <is>
          <t>Vendor CMS</t>
        </is>
      </c>
      <c r="C18" s="11" t="inlineStr">
        <is>
          <t>VC-02 · Store dashboard and navigation</t>
        </is>
      </c>
      <c r="D18" s="11" t="inlineStr">
        <is>
          <t>Roles</t>
        </is>
      </c>
      <c r="E18" s="11" t="inlineStr">
        <is>
          <t>Dashboard follows role</t>
        </is>
      </c>
      <c r="F18" s="11" t="inlineStr">
        <is>
          <t>A catalog editor's dashboard hides what they cannot use.</t>
        </is>
      </c>
      <c r="G18" s="11" t="inlineStr">
        <is>
          <t>Signed in as a Catalog editor (VC-28)</t>
        </is>
      </c>
      <c r="H18" s="11" t="inlineStr">
        <is>
          <t>—</t>
        </is>
      </c>
      <c r="I18" s="11" t="inlineStr">
        <is>
          <t>1. Open the dashboard
2. Verify the expected result.</t>
        </is>
      </c>
      <c r="J18" s="11" t="inlineStr">
        <is>
          <t>No launch checklist, no enquiry cards and only the quick actions they can use.</t>
        </is>
      </c>
      <c r="K18" s="11" t="inlineStr"/>
      <c r="L18" s="11" t="inlineStr">
        <is>
          <t>Not Run</t>
        </is>
      </c>
      <c r="M18" s="11" t="inlineStr">
        <is>
          <t>High</t>
        </is>
      </c>
      <c r="N18" s="11" t="inlineStr">
        <is>
          <t>Security/Permissions</t>
        </is>
      </c>
      <c r="O18" s="11" t="inlineStr"/>
      <c r="P18" s="11" t="inlineStr"/>
      <c r="Q18" s="11" t="inlineStr"/>
      <c r="R18" s="11" t="inlineStr"/>
      <c r="S18" s="11" t="inlineStr">
        <is>
          <t>Catalog editor</t>
        </is>
      </c>
      <c r="T18" s="11" t="inlineStr">
        <is>
          <t>No</t>
        </is>
      </c>
      <c r="U18" s="11" t="inlineStr">
        <is>
          <t>docs/qa/regression/vendor-cms/VC-02-dashboard.md</t>
        </is>
      </c>
    </row>
    <row r="19">
      <c r="A19" s="11" t="inlineStr">
        <is>
          <t>VC-02-011</t>
        </is>
      </c>
      <c r="B19" s="11" t="inlineStr">
        <is>
          <t>Vendor CMS</t>
        </is>
      </c>
      <c r="C19" s="11" t="inlineStr">
        <is>
          <t>VC-02 · Store dashboard and navigation</t>
        </is>
      </c>
      <c r="D19" s="11" t="inlineStr">
        <is>
          <t>Responsive</t>
        </is>
      </c>
      <c r="E19" s="11" t="inlineStr">
        <is>
          <t>Narrow screen</t>
        </is>
      </c>
      <c r="F19" s="11" t="inlineStr">
        <is>
          <t>Below 1024 px the menu opens from a button.</t>
        </is>
      </c>
      <c r="G19" s="11" t="inlineStr">
        <is>
          <t>Signed in as Home Orbit's owner (or super admin with Manage store on Home Orbit)</t>
        </is>
      </c>
      <c r="H19" s="11" t="inlineStr">
        <is>
          <t>Window 800 px wide</t>
        </is>
      </c>
      <c r="I19" s="11" t="inlineStr">
        <is>
          <t>1. Narrow the window
2. Press ☰
3. Verify the expected result.</t>
        </is>
      </c>
      <c r="J19" s="11" t="inlineStr">
        <is>
          <t>The menu opens over the page and closes again; nothing runs off the screen.</t>
        </is>
      </c>
      <c r="K19" s="11" t="inlineStr"/>
      <c r="L19" s="11" t="inlineStr">
        <is>
          <t>Not Run</t>
        </is>
      </c>
      <c r="M19" s="11" t="inlineStr">
        <is>
          <t>Low</t>
        </is>
      </c>
      <c r="N19" s="11" t="inlineStr">
        <is>
          <t>UI/UX</t>
        </is>
      </c>
      <c r="O19" s="11" t="inlineStr"/>
      <c r="P19" s="11" t="inlineStr"/>
      <c r="Q19" s="11" t="inlineStr"/>
      <c r="R19" s="11" t="inlineStr"/>
      <c r="S19" s="11" t="inlineStr">
        <is>
          <t>Store owner</t>
        </is>
      </c>
      <c r="T19" s="11" t="inlineStr">
        <is>
          <t>No</t>
        </is>
      </c>
      <c r="U19" s="11" t="inlineStr">
        <is>
          <t>docs/qa/regression/vendor-cms/VC-02-dashboard.md</t>
        </is>
      </c>
    </row>
    <row r="20">
      <c r="A20" s="11" t="inlineStr">
        <is>
          <t>VC-03-001</t>
        </is>
      </c>
      <c r="B20" s="11" t="inlineStr">
        <is>
          <t>Vendor CMS</t>
        </is>
      </c>
      <c r="C20" s="11" t="inlineStr">
        <is>
          <t>VC-03 · Store settings</t>
        </is>
      </c>
      <c r="D20" s="11" t="inlineStr">
        <is>
          <t>Layout</t>
        </is>
      </c>
      <c r="E20" s="11" t="inlineStr">
        <is>
          <t>Section links</t>
        </is>
      </c>
      <c r="F20" s="11" t="inlineStr">
        <is>
          <t>Settings is one page with links to each section.</t>
        </is>
      </c>
      <c r="G20" s="11" t="inlineStr">
        <is>
          <t>Signed in as Home Orbit's owner (or super admin with Manage store on Home Orbit)</t>
        </is>
      </c>
      <c r="H20" s="11" t="inlineStr">
        <is>
          <t>—</t>
        </is>
      </c>
      <c r="I20" s="11" t="inlineStr">
        <is>
          <t>1. Open Store → Settings
2. Press Contact in the links at the top
3. Verify the expected result.</t>
        </is>
      </c>
      <c r="J20" s="11" t="inlineStr">
        <is>
          <t>Sections Branding, Contact, Grievance officer and labels, GST and invoices, Checkout and returns, Announcement bar, Policies, Search and analytics, Store status; the page scrolls to Contact.</t>
        </is>
      </c>
      <c r="K20" s="11" t="inlineStr"/>
      <c r="L20" s="11" t="inlineStr">
        <is>
          <t>Not Run</t>
        </is>
      </c>
      <c r="M20" s="11" t="inlineStr">
        <is>
          <t>Medium</t>
        </is>
      </c>
      <c r="N20" s="11" t="inlineStr">
        <is>
          <t>UI/UX</t>
        </is>
      </c>
      <c r="O20" s="11" t="inlineStr"/>
      <c r="P20" s="11" t="inlineStr"/>
      <c r="Q20" s="11" t="inlineStr"/>
      <c r="R20" s="11" t="inlineStr"/>
      <c r="S20" s="11" t="inlineStr">
        <is>
          <t>Store owner</t>
        </is>
      </c>
      <c r="T20" s="11" t="inlineStr">
        <is>
          <t>No</t>
        </is>
      </c>
      <c r="U20" s="11" t="inlineStr">
        <is>
          <t>docs/qa/regression/vendor-cms/VC-03-store-settings.md</t>
        </is>
      </c>
    </row>
    <row r="21">
      <c r="A21" s="11" t="inlineStr">
        <is>
          <t>VC-03-002</t>
        </is>
      </c>
      <c r="B21" s="11" t="inlineStr">
        <is>
          <t>Vendor CMS</t>
        </is>
      </c>
      <c r="C21" s="11" t="inlineStr">
        <is>
          <t>VC-03 · Store settings</t>
        </is>
      </c>
      <c r="D21" s="11" t="inlineStr">
        <is>
          <t>Contact</t>
        </is>
      </c>
      <c r="E21" s="11" t="inlineStr">
        <is>
          <t>Save contact and WhatsApp</t>
        </is>
      </c>
      <c r="F21" s="11" t="inlineStr">
        <is>
          <t>Contact details save and reach the store.</t>
        </is>
      </c>
      <c r="G21" s="11" t="inlineStr">
        <is>
          <t>Signed in as Home Orbit's owner (or super admin with Manage store on Home Orbit)</t>
        </is>
      </c>
      <c r="H21" s="11" t="inlineStr">
        <is>
          <t>Phone +91 98765 43210; WhatsApp 98765 43210; email care@homeorbit.example</t>
        </is>
      </c>
      <c r="I21" s="11" t="inlineStr">
        <is>
          <t>1. Fill the Contact section
2. Save
3. Reload a product page on http://home-orbit.localhost:3000
4. Hover Ask on WhatsApp
5. Verify the expected result.</t>
        </is>
      </c>
      <c r="J21" s="11" t="inlineStr">
        <is>
          <t>"Updated successfully."; Ask on WhatsApp appears and links to https://wa.me/919876543210?text=… (91 added); /contact shows the phone and email; the footer shows them.</t>
        </is>
      </c>
      <c r="K21" s="11" t="inlineStr"/>
      <c r="L21" s="11" t="inlineStr">
        <is>
          <t>Not Run</t>
        </is>
      </c>
      <c r="M21" s="11" t="inlineStr">
        <is>
          <t>Critical</t>
        </is>
      </c>
      <c r="N21" s="11" t="inlineStr">
        <is>
          <t>Functional</t>
        </is>
      </c>
      <c r="O21" s="11" t="inlineStr"/>
      <c r="P21" s="11" t="inlineStr"/>
      <c r="Q21" s="11" t="inlineStr"/>
      <c r="R21" s="11" t="inlineStr">
        <is>
          <t>Also: Integration</t>
        </is>
      </c>
      <c r="S21" s="11" t="inlineStr">
        <is>
          <t>Store owner</t>
        </is>
      </c>
      <c r="T21" s="11" t="inlineStr">
        <is>
          <t>Yes</t>
        </is>
      </c>
      <c r="U21" s="11" t="inlineStr">
        <is>
          <t>docs/qa/regression/vendor-cms/VC-03-store-settings.md</t>
        </is>
      </c>
    </row>
    <row r="22">
      <c r="A22" s="11" t="inlineStr">
        <is>
          <t>VC-03-003</t>
        </is>
      </c>
      <c r="B22" s="11" t="inlineStr">
        <is>
          <t>Vendor CMS</t>
        </is>
      </c>
      <c r="C22" s="11" t="inlineStr">
        <is>
          <t>VC-03 · Store settings</t>
        </is>
      </c>
      <c r="D22" s="11" t="inlineStr">
        <is>
          <t>Contact</t>
        </is>
      </c>
      <c r="E22" s="11" t="inlineStr">
        <is>
          <t>Invalid email</t>
        </is>
      </c>
      <c r="F22" s="11" t="inlineStr">
        <is>
          <t>An invalid contact email is refused.</t>
        </is>
      </c>
      <c r="G22" s="11" t="inlineStr">
        <is>
          <t>Signed in as Home Orbit's owner (or super admin with Manage store on Home Orbit)</t>
        </is>
      </c>
      <c r="H22" s="11" t="inlineStr">
        <is>
          <t>Email "care@"</t>
        </is>
      </c>
      <c r="I22" s="11" t="inlineStr">
        <is>
          <t>1. Type the email
2. Save
3. Verify the expected result.</t>
        </is>
      </c>
      <c r="J22" s="11" t="inlineStr">
        <is>
          <t>Refused with an email format message.</t>
        </is>
      </c>
      <c r="K22" s="11" t="inlineStr"/>
      <c r="L22" s="11" t="inlineStr">
        <is>
          <t>Not Run</t>
        </is>
      </c>
      <c r="M22" s="11" t="inlineStr">
        <is>
          <t>Medium</t>
        </is>
      </c>
      <c r="N22" s="11" t="inlineStr">
        <is>
          <t>Validation</t>
        </is>
      </c>
      <c r="O22" s="11" t="inlineStr"/>
      <c r="P22" s="11" t="inlineStr"/>
      <c r="Q22" s="11" t="inlineStr"/>
      <c r="R22" s="11" t="inlineStr"/>
      <c r="S22" s="11" t="inlineStr">
        <is>
          <t>Store owner</t>
        </is>
      </c>
      <c r="T22" s="11" t="inlineStr">
        <is>
          <t>No</t>
        </is>
      </c>
      <c r="U22" s="11" t="inlineStr">
        <is>
          <t>docs/qa/regression/vendor-cms/VC-03-store-settings.md</t>
        </is>
      </c>
    </row>
    <row r="23">
      <c r="A23" s="11" t="inlineStr">
        <is>
          <t>VC-03-004</t>
        </is>
      </c>
      <c r="B23" s="11" t="inlineStr">
        <is>
          <t>Vendor CMS</t>
        </is>
      </c>
      <c r="C23" s="11" t="inlineStr">
        <is>
          <t>VC-03 · Store settings</t>
        </is>
      </c>
      <c r="D23" s="11" t="inlineStr">
        <is>
          <t>Grievance officer</t>
        </is>
      </c>
      <c r="E23" s="11" t="inlineStr">
        <is>
          <t>Shown on the store</t>
        </is>
      </c>
      <c r="F23" s="11" t="inlineStr">
        <is>
          <t>The grievance officer shows on contact and footer.</t>
        </is>
      </c>
      <c r="G23" s="11" t="inlineStr">
        <is>
          <t>Signed in as Home Orbit's owner (or super admin with Manage store on Home Orbit)</t>
        </is>
      </c>
      <c r="H23" s="11" t="inlineStr">
        <is>
          <t>Name Priya Shah, Director, grievance@homeorbit.example, phone</t>
        </is>
      </c>
      <c r="I23" s="11" t="inlineStr">
        <is>
          <t>1. Fill Grievance officer and labels
2. Save
3. Open http://home-orbit.localhost:3000/contact and the footer
4. Verify the expected result.</t>
        </is>
      </c>
      <c r="J23" s="11" t="inlineStr">
        <is>
          <t>Both show the grievance officer's name, designation and contact.</t>
        </is>
      </c>
      <c r="K23" s="11" t="inlineStr"/>
      <c r="L23" s="11" t="inlineStr">
        <is>
          <t>Not Run</t>
        </is>
      </c>
      <c r="M23" s="11" t="inlineStr">
        <is>
          <t>High</t>
        </is>
      </c>
      <c r="N23" s="11" t="inlineStr">
        <is>
          <t>Integration</t>
        </is>
      </c>
      <c r="O23" s="11" t="inlineStr"/>
      <c r="P23" s="11" t="inlineStr"/>
      <c r="Q23" s="11" t="inlineStr"/>
      <c r="R23" s="11" t="inlineStr"/>
      <c r="S23" s="11" t="inlineStr">
        <is>
          <t>Store owner</t>
        </is>
      </c>
      <c r="T23" s="11" t="inlineStr">
        <is>
          <t>No</t>
        </is>
      </c>
      <c r="U23" s="11" t="inlineStr">
        <is>
          <t>docs/qa/regression/vendor-cms/VC-03-store-settings.md</t>
        </is>
      </c>
    </row>
    <row r="24">
      <c r="A24" s="11" t="inlineStr">
        <is>
          <t>VC-03-005</t>
        </is>
      </c>
      <c r="B24" s="11" t="inlineStr">
        <is>
          <t>Vendor CMS</t>
        </is>
      </c>
      <c r="C24" s="11" t="inlineStr">
        <is>
          <t>VC-03 · Store settings</t>
        </is>
      </c>
      <c r="D24" s="11" t="inlineStr">
        <is>
          <t>GST</t>
        </is>
      </c>
      <c r="E24" s="11" t="inlineStr">
        <is>
          <t>GSTIN read-only</t>
        </is>
      </c>
      <c r="F24" s="11" t="inlineStr">
        <is>
          <t>The store's GSTIN cannot be edited here.</t>
        </is>
      </c>
      <c r="G24" s="11" t="inlineStr">
        <is>
          <t>Signed in as Home Orbit's owner (or super admin with Manage store on Home Orbit)</t>
        </is>
      </c>
      <c r="H24" s="11" t="inlineStr">
        <is>
          <t>—</t>
        </is>
      </c>
      <c r="I24" s="11" t="inlineStr">
        <is>
          <t>1. Open GST and invoices
2. Verify the expected result.</t>
        </is>
      </c>
      <c r="J24" s="11" t="inlineStr">
        <is>
          <t>GSTIN shows read-only (changed only by the platform).</t>
        </is>
      </c>
      <c r="K24" s="11" t="inlineStr"/>
      <c r="L24" s="11" t="inlineStr">
        <is>
          <t>Not Run</t>
        </is>
      </c>
      <c r="M24" s="11" t="inlineStr">
        <is>
          <t>Medium</t>
        </is>
      </c>
      <c r="N24" s="11" t="inlineStr">
        <is>
          <t>Security/Permissions</t>
        </is>
      </c>
      <c r="O24" s="11" t="inlineStr"/>
      <c r="P24" s="11" t="inlineStr"/>
      <c r="Q24" s="11" t="inlineStr"/>
      <c r="R24" s="11" t="inlineStr"/>
      <c r="S24" s="11" t="inlineStr">
        <is>
          <t>Store owner</t>
        </is>
      </c>
      <c r="T24" s="11" t="inlineStr">
        <is>
          <t>No</t>
        </is>
      </c>
      <c r="U24" s="11" t="inlineStr">
        <is>
          <t>docs/qa/regression/vendor-cms/VC-03-store-settings.md</t>
        </is>
      </c>
    </row>
    <row r="25">
      <c r="A25" s="11" t="inlineStr">
        <is>
          <t>VC-03-006</t>
        </is>
      </c>
      <c r="B25" s="11" t="inlineStr">
        <is>
          <t>Vendor CMS</t>
        </is>
      </c>
      <c r="C25" s="11" t="inlineStr">
        <is>
          <t>VC-03 · Store settings</t>
        </is>
      </c>
      <c r="D25" s="11" t="inlineStr">
        <is>
          <t>Returns</t>
        </is>
      </c>
      <c r="E25" s="11" t="inlineStr">
        <is>
          <t>Return window</t>
        </is>
      </c>
      <c r="F25" s="11" t="inlineStr">
        <is>
          <t>The return window shows on product pages.</t>
        </is>
      </c>
      <c r="G25" s="11" t="inlineStr">
        <is>
          <t>Signed in as Home Orbit's owner (or super admin with Manage store on Home Orbit); store selling: `pnpm demo:selling home-orbit` run</t>
        </is>
      </c>
      <c r="H25" s="11" t="inlineStr">
        <is>
          <t>Return window 10 days</t>
        </is>
      </c>
      <c r="I25" s="11" t="inlineStr">
        <is>
          <t>1. Set Return window to 10
2. Save
3. Open a product on http://home-orbit.localhost:3000
4. Verify the expected result.</t>
        </is>
      </c>
      <c r="J25" s="11" t="inlineStr">
        <is>
          <t>"10-day returns" in the promises line; 0 and 91 are refused (0 to 90 allowed).</t>
        </is>
      </c>
      <c r="K25" s="11" t="inlineStr"/>
      <c r="L25" s="11" t="inlineStr">
        <is>
          <t>Not Run</t>
        </is>
      </c>
      <c r="M25" s="11" t="inlineStr">
        <is>
          <t>Medium</t>
        </is>
      </c>
      <c r="N25" s="11" t="inlineStr">
        <is>
          <t>Integration</t>
        </is>
      </c>
      <c r="O25" s="11" t="inlineStr"/>
      <c r="P25" s="11" t="inlineStr"/>
      <c r="Q25" s="11" t="inlineStr"/>
      <c r="R25" s="11" t="inlineStr">
        <is>
          <t>Also: Boundary</t>
        </is>
      </c>
      <c r="S25" s="11" t="inlineStr">
        <is>
          <t>Store owner</t>
        </is>
      </c>
      <c r="T25" s="11" t="inlineStr">
        <is>
          <t>No</t>
        </is>
      </c>
      <c r="U25" s="11" t="inlineStr">
        <is>
          <t>docs/qa/regression/vendor-cms/VC-03-store-settings.md</t>
        </is>
      </c>
    </row>
    <row r="26">
      <c r="A26" s="11" t="inlineStr">
        <is>
          <t>VC-03-007</t>
        </is>
      </c>
      <c r="B26" s="11" t="inlineStr">
        <is>
          <t>Vendor CMS</t>
        </is>
      </c>
      <c r="C26" s="11" t="inlineStr">
        <is>
          <t>VC-03 · Store settings</t>
        </is>
      </c>
      <c r="D26" s="11" t="inlineStr">
        <is>
          <t>Announcement bar</t>
        </is>
      </c>
      <c r="E26" s="11" t="inlineStr">
        <is>
          <t>Store announcement</t>
        </is>
      </c>
      <c r="F26" s="11" t="inlineStr">
        <is>
          <t>The announcement bar text shows on the store when on.</t>
        </is>
      </c>
      <c r="G26" s="11" t="inlineStr">
        <is>
          <t>Signed in as Home Orbit's owner (or super admin with Manage store on Home Orbit)</t>
        </is>
      </c>
      <c r="H26" s="11" t="inlineStr">
        <is>
          <t>Text "Free delivery above ₹999", enabled</t>
        </is>
      </c>
      <c r="I26" s="11" t="inlineStr">
        <is>
          <t>1. Fill and enable Announcement bar
2. Save
3. Reload http://home-orbit.localhost:3000
4. Verify the expected result.</t>
        </is>
      </c>
      <c r="J26" s="11" t="inlineStr">
        <is>
          <t>The text shows at the top of every store page (unless a live scheme's announcement replaces it).</t>
        </is>
      </c>
      <c r="K26" s="11" t="inlineStr"/>
      <c r="L26" s="11" t="inlineStr">
        <is>
          <t>Not Run</t>
        </is>
      </c>
      <c r="M26" s="11" t="inlineStr">
        <is>
          <t>Medium</t>
        </is>
      </c>
      <c r="N26" s="11" t="inlineStr">
        <is>
          <t>Integration</t>
        </is>
      </c>
      <c r="O26" s="11" t="inlineStr"/>
      <c r="P26" s="11" t="inlineStr"/>
      <c r="Q26" s="11" t="inlineStr"/>
      <c r="R26" s="11" t="inlineStr"/>
      <c r="S26" s="11" t="inlineStr">
        <is>
          <t>Store owner</t>
        </is>
      </c>
      <c r="T26" s="11" t="inlineStr">
        <is>
          <t>No</t>
        </is>
      </c>
      <c r="U26" s="11" t="inlineStr">
        <is>
          <t>docs/qa/regression/vendor-cms/VC-03-store-settings.md</t>
        </is>
      </c>
    </row>
    <row r="27">
      <c r="A27" s="11" t="inlineStr">
        <is>
          <t>VC-03-008</t>
        </is>
      </c>
      <c r="B27" s="11" t="inlineStr">
        <is>
          <t>Vendor CMS</t>
        </is>
      </c>
      <c r="C27" s="11" t="inlineStr">
        <is>
          <t>VC-03 · Store settings</t>
        </is>
      </c>
      <c r="D27" s="11" t="inlineStr">
        <is>
          <t>Store status</t>
        </is>
      </c>
      <c r="E27" s="11" t="inlineStr">
        <is>
          <t>Maintenance mode</t>
        </is>
      </c>
      <c r="F27" s="11" t="inlineStr">
        <is>
          <t>Maintenance mode closes the store and warns staff.</t>
        </is>
      </c>
      <c r="G27" s="11" t="inlineStr">
        <is>
          <t>Signed in as Home Orbit's owner (or super admin with Manage store on Home Orbit)</t>
        </is>
      </c>
      <c r="H27" s="11" t="inlineStr">
        <is>
          <t>Tick Maintenance mode</t>
        </is>
      </c>
      <c r="I27" s="11" t="inlineStr">
        <is>
          <t>1. Tick Maintenance mode
2. Save
3. Open http://home-orbit.localhost:3000
4. Untick and Save
5. Verify the expected result.</t>
        </is>
      </c>
      <c r="J27" s="11" t="inlineStr">
        <is>
          <t>A yellow "Maintenance mode is on" bar on every CMS page and in Needs your attention; the store shows "Home Orbit will be back soon"; unticking reopens it.</t>
        </is>
      </c>
      <c r="K27" s="11" t="inlineStr"/>
      <c r="L27" s="11" t="inlineStr">
        <is>
          <t>Not Run</t>
        </is>
      </c>
      <c r="M27" s="11" t="inlineStr">
        <is>
          <t>High</t>
        </is>
      </c>
      <c r="N27" s="11" t="inlineStr">
        <is>
          <t>Integration</t>
        </is>
      </c>
      <c r="O27" s="11" t="inlineStr"/>
      <c r="P27" s="11" t="inlineStr"/>
      <c r="Q27" s="11" t="inlineStr"/>
      <c r="R27" s="11" t="inlineStr"/>
      <c r="S27" s="11" t="inlineStr">
        <is>
          <t>Store owner</t>
        </is>
      </c>
      <c r="T27" s="11" t="inlineStr">
        <is>
          <t>No</t>
        </is>
      </c>
      <c r="U27" s="11" t="inlineStr">
        <is>
          <t>docs/qa/regression/vendor-cms/VC-03-store-settings.md</t>
        </is>
      </c>
    </row>
    <row r="28">
      <c r="A28" s="11" t="inlineStr">
        <is>
          <t>VC-03-009</t>
        </is>
      </c>
      <c r="B28" s="11" t="inlineStr">
        <is>
          <t>Vendor CMS</t>
        </is>
      </c>
      <c r="C28" s="11" t="inlineStr">
        <is>
          <t>VC-03 · Store settings</t>
        </is>
      </c>
      <c r="D28" s="11" t="inlineStr">
        <is>
          <t>Permissions</t>
        </is>
      </c>
      <c r="E28" s="11" t="inlineStr">
        <is>
          <t>Read-only for catalog editor</t>
        </is>
      </c>
      <c r="F28" s="11" t="inlineStr">
        <is>
          <t>A catalog editor sees settings read-only.</t>
        </is>
      </c>
      <c r="G28" s="11" t="inlineStr">
        <is>
          <t>Signed in as Catalog editor</t>
        </is>
      </c>
      <c r="H28" s="11" t="inlineStr">
        <is>
          <t>—</t>
        </is>
      </c>
      <c r="I28" s="11" t="inlineStr">
        <is>
          <t>1. Open Store → Settings
2. Verify the expected result.</t>
        </is>
      </c>
      <c r="J28" s="11" t="inlineStr">
        <is>
          <t>No Save button; fields cannot be changed.</t>
        </is>
      </c>
      <c r="K28" s="11" t="inlineStr"/>
      <c r="L28" s="11" t="inlineStr">
        <is>
          <t>Not Run</t>
        </is>
      </c>
      <c r="M28" s="11" t="inlineStr">
        <is>
          <t>High</t>
        </is>
      </c>
      <c r="N28" s="11" t="inlineStr">
        <is>
          <t>Security/Permissions</t>
        </is>
      </c>
      <c r="O28" s="11" t="inlineStr"/>
      <c r="P28" s="11" t="inlineStr"/>
      <c r="Q28" s="11" t="inlineStr"/>
      <c r="R28" s="11" t="inlineStr"/>
      <c r="S28" s="11" t="inlineStr">
        <is>
          <t>Catalog editor</t>
        </is>
      </c>
      <c r="T28" s="11" t="inlineStr">
        <is>
          <t>No</t>
        </is>
      </c>
      <c r="U28" s="11" t="inlineStr">
        <is>
          <t>docs/qa/regression/vendor-cms/VC-03-store-settings.md</t>
        </is>
      </c>
    </row>
    <row r="29">
      <c r="A29" s="11" t="inlineStr">
        <is>
          <t>VC-04-001</t>
        </is>
      </c>
      <c r="B29" s="11" t="inlineStr">
        <is>
          <t>Vendor CMS</t>
        </is>
      </c>
      <c r="C29" s="11" t="inlineStr">
        <is>
          <t>VC-04 · Products and product editor</t>
        </is>
      </c>
      <c r="D29" s="11" t="inlineStr">
        <is>
          <t>List</t>
        </is>
      </c>
      <c r="E29" s="11" t="inlineStr">
        <is>
          <t>Header, tabs and columns</t>
        </is>
      </c>
      <c r="F29" s="11" t="inlineStr">
        <is>
          <t>The product list matches the wireframe.</t>
        </is>
      </c>
      <c r="G29" s="11" t="inlineStr">
        <is>
          <t>Signed in as Home Orbit's owner (or super admin with Manage store on Home Orbit)</t>
        </is>
      </c>
      <c r="H29" s="11" t="inlineStr">
        <is>
          <t>—</t>
        </is>
      </c>
      <c r="I29" s="11" t="inlineStr">
        <is>
          <t>1. Open Catalog → Products
2. Verify the expected result.</t>
        </is>
      </c>
      <c r="J29" s="11" t="inlineStr">
        <is>
          <t>"110 products · 500 allowed on Starter", Import, Export, Add product; tabs All, Active, Draft, Archived with counts; rows with photo, model number, category, finishes, price or range, stock, status, updated.</t>
        </is>
      </c>
      <c r="K29" s="11" t="inlineStr">
        <is>
          <t>"110 products · 500 allowed on Starter", Import, Export, Add product, tabs All 110 / Active 110 / Draft 0 / Archived 0, Category filter with subcategories.</t>
        </is>
      </c>
      <c r="L29" s="11" t="inlineStr">
        <is>
          <t>Pass</t>
        </is>
      </c>
      <c r="M29" s="11" t="inlineStr">
        <is>
          <t>High</t>
        </is>
      </c>
      <c r="N29" s="11" t="inlineStr">
        <is>
          <t>UI/UX</t>
        </is>
      </c>
      <c r="O29" s="11" t="inlineStr">
        <is>
          <t>Claude (Claude in Chrome)</t>
        </is>
      </c>
      <c r="P29" s="11" t="inlineStr">
        <is>
          <t>2026-10-10</t>
        </is>
      </c>
      <c r="Q29" s="11" t="inlineStr"/>
      <c r="R29" s="11" t="inlineStr"/>
      <c r="S29" s="11" t="inlineStr">
        <is>
          <t>Store owner</t>
        </is>
      </c>
      <c r="T29" s="11" t="inlineStr">
        <is>
          <t>Yes</t>
        </is>
      </c>
      <c r="U29" s="11" t="inlineStr">
        <is>
          <t>docs/qa/regression/vendor-cms/VC-04-products.md</t>
        </is>
      </c>
    </row>
    <row r="30">
      <c r="A30" s="11" t="inlineStr">
        <is>
          <t>VC-04-002</t>
        </is>
      </c>
      <c r="B30" s="11" t="inlineStr">
        <is>
          <t>Vendor CMS</t>
        </is>
      </c>
      <c r="C30" s="11" t="inlineStr">
        <is>
          <t>VC-04 · Products and product editor</t>
        </is>
      </c>
      <c r="D30" s="11" t="inlineStr">
        <is>
          <t>List</t>
        </is>
      </c>
      <c r="E30" s="11" t="inlineStr">
        <is>
          <t>Search by model number</t>
        </is>
      </c>
      <c r="F30" s="11" t="inlineStr">
        <is>
          <t>Search finds a product by model number.</t>
        </is>
      </c>
      <c r="G30" s="11" t="inlineStr">
        <is>
          <t>Signed in as Home Orbit's owner (or super admin with Manage store on Home Orbit)</t>
        </is>
      </c>
      <c r="H30" s="11" t="inlineStr">
        <is>
          <t>HOPH-504</t>
        </is>
      </c>
      <c r="I30" s="11" t="inlineStr">
        <is>
          <t>1. Type HOPH-504 in the search
2. Verify the expected result.</t>
        </is>
      </c>
      <c r="J30" s="11" t="inlineStr">
        <is>
          <t>One result: the Feather pull handle.</t>
        </is>
      </c>
      <c r="K30" s="11" t="inlineStr"/>
      <c r="L30" s="11" t="inlineStr">
        <is>
          <t>Not Run</t>
        </is>
      </c>
      <c r="M30" s="11" t="inlineStr">
        <is>
          <t>High</t>
        </is>
      </c>
      <c r="N30" s="11" t="inlineStr">
        <is>
          <t>Functional</t>
        </is>
      </c>
      <c r="O30" s="11" t="inlineStr"/>
      <c r="P30" s="11" t="inlineStr"/>
      <c r="Q30" s="11" t="inlineStr"/>
      <c r="R30" s="11" t="inlineStr"/>
      <c r="S30" s="11" t="inlineStr">
        <is>
          <t>Store owner</t>
        </is>
      </c>
      <c r="T30" s="11" t="inlineStr">
        <is>
          <t>Yes</t>
        </is>
      </c>
      <c r="U30" s="11" t="inlineStr">
        <is>
          <t>docs/qa/regression/vendor-cms/VC-04-products.md</t>
        </is>
      </c>
    </row>
    <row r="31">
      <c r="A31" s="11" t="inlineStr">
        <is>
          <t>VC-04-003</t>
        </is>
      </c>
      <c r="B31" s="11" t="inlineStr">
        <is>
          <t>Vendor CMS</t>
        </is>
      </c>
      <c r="C31" s="11" t="inlineStr">
        <is>
          <t>VC-04 · Products and product editor</t>
        </is>
      </c>
      <c r="D31" s="11" t="inlineStr">
        <is>
          <t>List</t>
        </is>
      </c>
      <c r="E31" s="11" t="inlineStr">
        <is>
          <t>Search by exact SKU</t>
        </is>
      </c>
      <c r="F31" s="11" t="inlineStr">
        <is>
          <t>An exact variant SKU finds its product.</t>
        </is>
      </c>
      <c r="G31" s="11" t="inlineStr">
        <is>
          <t>Signed in as Home Orbit's owner (or super admin with Manage store on Home Orbit); variants created (VC-04-012)</t>
        </is>
      </c>
      <c r="H31" s="11" t="inlineStr">
        <is>
          <t>HOPH-504-8-INCH-ANTIQUE</t>
        </is>
      </c>
      <c r="I31" s="11" t="inlineStr">
        <is>
          <t>1. Search the SKU
2. Verify the expected result.</t>
        </is>
      </c>
      <c r="J31" s="11" t="inlineStr">
        <is>
          <t>The parent product is listed.</t>
        </is>
      </c>
      <c r="K31" s="11" t="inlineStr"/>
      <c r="L31" s="11" t="inlineStr">
        <is>
          <t>Not Run</t>
        </is>
      </c>
      <c r="M31" s="11" t="inlineStr">
        <is>
          <t>Medium</t>
        </is>
      </c>
      <c r="N31" s="11" t="inlineStr">
        <is>
          <t>Functional</t>
        </is>
      </c>
      <c r="O31" s="11" t="inlineStr"/>
      <c r="P31" s="11" t="inlineStr"/>
      <c r="Q31" s="11" t="inlineStr"/>
      <c r="R31" s="11" t="inlineStr"/>
      <c r="S31" s="11" t="inlineStr">
        <is>
          <t>Store owner</t>
        </is>
      </c>
      <c r="T31" s="11" t="inlineStr">
        <is>
          <t>No</t>
        </is>
      </c>
      <c r="U31" s="11" t="inlineStr">
        <is>
          <t>docs/qa/regression/vendor-cms/VC-04-products.md</t>
        </is>
      </c>
    </row>
    <row r="32">
      <c r="A32" s="11" t="inlineStr">
        <is>
          <t>VC-04-004</t>
        </is>
      </c>
      <c r="B32" s="11" t="inlineStr">
        <is>
          <t>Vendor CMS</t>
        </is>
      </c>
      <c r="C32" s="11" t="inlineStr">
        <is>
          <t>VC-04 · Products and product editor</t>
        </is>
      </c>
      <c r="D32" s="11" t="inlineStr">
        <is>
          <t>List</t>
        </is>
      </c>
      <c r="E32" s="11" t="inlineStr">
        <is>
          <t>Category filter with subcategories</t>
        </is>
      </c>
      <c r="F32" s="11" t="inlineStr">
        <is>
          <t>Filtering by a parent category includes its children.</t>
        </is>
      </c>
      <c r="G32" s="11" t="inlineStr">
        <is>
          <t>Signed in as Home Orbit's owner (or super admin with Manage store on Home Orbit)</t>
        </is>
      </c>
      <c r="H32" s="11" t="inlineStr">
        <is>
          <t>Category Door hardware</t>
        </is>
      </c>
      <c r="I32" s="11" t="inlineStr">
        <is>
          <t>1. Pick Category = Door hardware
2. Verify the expected result.</t>
        </is>
      </c>
      <c r="J32" s="11" t="inlineStr">
        <is>
          <t>50 products from Aldrops, Pull handles, Glass door handles and Door stoppers.</t>
        </is>
      </c>
      <c r="K32" s="11" t="inlineStr"/>
      <c r="L32" s="11" t="inlineStr">
        <is>
          <t>Not Run</t>
        </is>
      </c>
      <c r="M32" s="11" t="inlineStr">
        <is>
          <t>Medium</t>
        </is>
      </c>
      <c r="N32" s="11" t="inlineStr">
        <is>
          <t>Functional</t>
        </is>
      </c>
      <c r="O32" s="11" t="inlineStr"/>
      <c r="P32" s="11" t="inlineStr"/>
      <c r="Q32" s="11" t="inlineStr"/>
      <c r="R32" s="11" t="inlineStr"/>
      <c r="S32" s="11" t="inlineStr">
        <is>
          <t>Store owner</t>
        </is>
      </c>
      <c r="T32" s="11" t="inlineStr">
        <is>
          <t>No</t>
        </is>
      </c>
      <c r="U32" s="11" t="inlineStr">
        <is>
          <t>docs/qa/regression/vendor-cms/VC-04-products.md</t>
        </is>
      </c>
    </row>
    <row r="33">
      <c r="A33" s="11" t="inlineStr">
        <is>
          <t>VC-04-005</t>
        </is>
      </c>
      <c r="B33" s="11" t="inlineStr">
        <is>
          <t>Vendor CMS</t>
        </is>
      </c>
      <c r="C33" s="11" t="inlineStr">
        <is>
          <t>VC-04 · Products and product editor</t>
        </is>
      </c>
      <c r="D33" s="11" t="inlineStr">
        <is>
          <t>List</t>
        </is>
      </c>
      <c r="E33" s="11" t="inlineStr">
        <is>
          <t>Stock filter</t>
        </is>
      </c>
      <c r="F33" s="11" t="inlineStr">
        <is>
          <t>The stock filter shows low and out-of-stock products.</t>
        </is>
      </c>
      <c r="G33" s="11" t="inlineStr">
        <is>
          <t>Signed in as Home Orbit's owner (or super admin with Manage store on Home Orbit); store selling: `pnpm demo:selling home-orbit` run</t>
        </is>
      </c>
      <c r="H33" s="11" t="inlineStr">
        <is>
          <t>Stock = Out of stock</t>
        </is>
      </c>
      <c r="I33" s="11" t="inlineStr">
        <is>
          <t>1. Pick the stock filter
2. Verify the expected result.</t>
        </is>
      </c>
      <c r="J33" s="11" t="inlineStr">
        <is>
          <t>Only products whose variants are out of stock; an empty state when none.</t>
        </is>
      </c>
      <c r="K33" s="11" t="inlineStr"/>
      <c r="L33" s="11" t="inlineStr">
        <is>
          <t>Not Run</t>
        </is>
      </c>
      <c r="M33" s="11" t="inlineStr">
        <is>
          <t>Low</t>
        </is>
      </c>
      <c r="N33" s="11" t="inlineStr">
        <is>
          <t>Functional</t>
        </is>
      </c>
      <c r="O33" s="11" t="inlineStr"/>
      <c r="P33" s="11" t="inlineStr"/>
      <c r="Q33" s="11" t="inlineStr"/>
      <c r="R33" s="11" t="inlineStr"/>
      <c r="S33" s="11" t="inlineStr">
        <is>
          <t>Store owner</t>
        </is>
      </c>
      <c r="T33" s="11" t="inlineStr">
        <is>
          <t>No</t>
        </is>
      </c>
      <c r="U33" s="11" t="inlineStr">
        <is>
          <t>docs/qa/regression/vendor-cms/VC-04-products.md</t>
        </is>
      </c>
    </row>
    <row r="34">
      <c r="A34" s="11" t="inlineStr">
        <is>
          <t>VC-04-006</t>
        </is>
      </c>
      <c r="B34" s="11" t="inlineStr">
        <is>
          <t>Vendor CMS</t>
        </is>
      </c>
      <c r="C34" s="11" t="inlineStr">
        <is>
          <t>VC-04 · Products and product editor</t>
        </is>
      </c>
      <c r="D34" s="11" t="inlineStr">
        <is>
          <t>Bulk</t>
        </is>
      </c>
      <c r="E34" s="11" t="inlineStr">
        <is>
          <t>Publish and archive selected</t>
        </is>
      </c>
      <c r="F34" s="11" t="inlineStr">
        <is>
          <t>Bulk actions act on ticked rows and report failures.</t>
        </is>
      </c>
      <c r="G34" s="11" t="inlineStr">
        <is>
          <t>Signed in as Home Orbit's owner (or super admin with Manage store on Home Orbit)</t>
        </is>
      </c>
      <c r="H34" s="11" t="inlineStr">
        <is>
          <t>Tick two products, one without a photo</t>
        </is>
      </c>
      <c r="I34" s="11" t="inlineStr">
        <is>
          <t>1. Tick two rows
2. Press Archive
3. Then tick them and Publish
4. Verify the expected result.</t>
        </is>
      </c>
      <c r="J34" s="11" t="inlineStr">
        <is>
          <t>Archive moves both to Archived; Publish activates the one that can and lists the other with the reason (no photo).</t>
        </is>
      </c>
      <c r="K34" s="11" t="inlineStr"/>
      <c r="L34" s="11" t="inlineStr">
        <is>
          <t>Not Run</t>
        </is>
      </c>
      <c r="M34" s="11" t="inlineStr">
        <is>
          <t>High</t>
        </is>
      </c>
      <c r="N34" s="11" t="inlineStr">
        <is>
          <t>Functional</t>
        </is>
      </c>
      <c r="O34" s="11" t="inlineStr"/>
      <c r="P34" s="11" t="inlineStr"/>
      <c r="Q34" s="11" t="inlineStr"/>
      <c r="R34" s="11" t="inlineStr">
        <is>
          <t>Also: Negative</t>
        </is>
      </c>
      <c r="S34" s="11" t="inlineStr">
        <is>
          <t>Store owner</t>
        </is>
      </c>
      <c r="T34" s="11" t="inlineStr">
        <is>
          <t>No</t>
        </is>
      </c>
      <c r="U34" s="11" t="inlineStr">
        <is>
          <t>docs/qa/regression/vendor-cms/VC-04-products.md</t>
        </is>
      </c>
    </row>
    <row r="35">
      <c r="A35" s="11" t="inlineStr">
        <is>
          <t>VC-04-007</t>
        </is>
      </c>
      <c r="B35" s="11" t="inlineStr">
        <is>
          <t>Vendor CMS</t>
        </is>
      </c>
      <c r="C35" s="11" t="inlineStr">
        <is>
          <t>VC-04 · Products and product editor</t>
        </is>
      </c>
      <c r="D35" s="11" t="inlineStr">
        <is>
          <t>Bulk</t>
        </is>
      </c>
      <c r="E35" s="11" t="inlineStr">
        <is>
          <t>Change category</t>
        </is>
      </c>
      <c r="F35" s="11" t="inlineStr">
        <is>
          <t>Bulk change category moves products.</t>
        </is>
      </c>
      <c r="G35" s="11" t="inlineStr">
        <is>
          <t>Signed in as Home Orbit's owner (or super admin with Manage store on Home Orbit)</t>
        </is>
      </c>
      <c r="H35" s="11" t="inlineStr">
        <is>
          <t>Two products → Towel rings</t>
        </is>
      </c>
      <c r="I35" s="11" t="inlineStr">
        <is>
          <t>1. Tick two products
2. Press Change category
3. Pick Towel rings and confirm
4. Verify the expected result.</t>
        </is>
      </c>
      <c r="J35" s="11" t="inlineStr">
        <is>
          <t>Both now show Towel rings as their category.</t>
        </is>
      </c>
      <c r="K35" s="11" t="inlineStr"/>
      <c r="L35" s="11" t="inlineStr">
        <is>
          <t>Not Run</t>
        </is>
      </c>
      <c r="M35" s="11" t="inlineStr">
        <is>
          <t>Medium</t>
        </is>
      </c>
      <c r="N35" s="11" t="inlineStr">
        <is>
          <t>Functional</t>
        </is>
      </c>
      <c r="O35" s="11" t="inlineStr"/>
      <c r="P35" s="11" t="inlineStr"/>
      <c r="Q35" s="11" t="inlineStr"/>
      <c r="R35" s="11" t="inlineStr"/>
      <c r="S35" s="11" t="inlineStr">
        <is>
          <t>Store owner</t>
        </is>
      </c>
      <c r="T35" s="11" t="inlineStr">
        <is>
          <t>No</t>
        </is>
      </c>
      <c r="U35" s="11" t="inlineStr">
        <is>
          <t>docs/qa/regression/vendor-cms/VC-04-products.md</t>
        </is>
      </c>
    </row>
    <row r="36">
      <c r="A36" s="11" t="inlineStr">
        <is>
          <t>VC-04-008</t>
        </is>
      </c>
      <c r="B36" s="11" t="inlineStr">
        <is>
          <t>Vendor CMS</t>
        </is>
      </c>
      <c r="C36" s="11" t="inlineStr">
        <is>
          <t>VC-04 · Products and product editor</t>
        </is>
      </c>
      <c r="D36" s="11" t="inlineStr">
        <is>
          <t>Export</t>
        </is>
      </c>
      <c r="E36" s="11" t="inlineStr">
        <is>
          <t>Export and export selected</t>
        </is>
      </c>
      <c r="F36" s="11" t="inlineStr">
        <is>
          <t>Export gives the import template's columns.</t>
        </is>
      </c>
      <c r="G36" s="11" t="inlineStr">
        <is>
          <t>Signed in as Home Orbit's owner (or super admin with Manage store on Home Orbit)</t>
        </is>
      </c>
      <c r="H36" s="11" t="inlineStr">
        <is>
          <t>—</t>
        </is>
      </c>
      <c r="I36" s="11" t="inlineStr">
        <is>
          <t>1. Press Export
2. Tick two rows and press Export selected
3. Verify the expected result.</t>
        </is>
      </c>
      <c r="J36" s="11" t="inlineStr">
        <is>
          <t>CSVs in the template columns (with option.&lt;axis&gt; columns); the selected export has only those two; importing the file unchanged reports no changes.</t>
        </is>
      </c>
      <c r="K36" s="11" t="inlineStr"/>
      <c r="L36" s="11" t="inlineStr">
        <is>
          <t>Not Run</t>
        </is>
      </c>
      <c r="M36" s="11" t="inlineStr">
        <is>
          <t>Medium</t>
        </is>
      </c>
      <c r="N36" s="11" t="inlineStr">
        <is>
          <t>Functional</t>
        </is>
      </c>
      <c r="O36" s="11" t="inlineStr"/>
      <c r="P36" s="11" t="inlineStr"/>
      <c r="Q36" s="11" t="inlineStr"/>
      <c r="R36" s="11" t="inlineStr">
        <is>
          <t>Also: Integration</t>
        </is>
      </c>
      <c r="S36" s="11" t="inlineStr">
        <is>
          <t>Store owner</t>
        </is>
      </c>
      <c r="T36" s="11" t="inlineStr">
        <is>
          <t>No</t>
        </is>
      </c>
      <c r="U36" s="11" t="inlineStr">
        <is>
          <t>docs/qa/regression/vendor-cms/VC-04-products.md</t>
        </is>
      </c>
    </row>
    <row r="37">
      <c r="A37" s="11" t="inlineStr">
        <is>
          <t>VC-04-009</t>
        </is>
      </c>
      <c r="B37" s="11" t="inlineStr">
        <is>
          <t>Vendor CMS</t>
        </is>
      </c>
      <c r="C37" s="11" t="inlineStr">
        <is>
          <t>VC-04 · Products and product editor</t>
        </is>
      </c>
      <c r="D37" s="11" t="inlineStr">
        <is>
          <t>Editor</t>
        </is>
      </c>
      <c r="E37" s="11" t="inlineStr">
        <is>
          <t>Sections and side column</t>
        </is>
      </c>
      <c r="F37" s="11" t="inlineStr">
        <is>
          <t>The editor has the wireframe's sections.</t>
        </is>
      </c>
      <c r="G37" s="11" t="inlineStr">
        <is>
          <t>Signed in as Home Orbit's owner (or super admin with Manage store on Home Orbit)</t>
        </is>
      </c>
      <c r="H37" s="11" t="inlineStr">
        <is>
          <t>Open HOPH-504</t>
        </is>
      </c>
      <c r="I37" s="11" t="inlineStr">
        <is>
          <t>1. Open the product
2. Verify the expected result.</t>
        </is>
      </c>
      <c r="J37" s="11" t="inlineStr">
        <is>
          <t>Basics, Photos and videos, Specifications, Finishes prices and stock, Price and GST, Documents, Spare parts and related products, Search engines; side: Status, How shoppers buy, Legal details, weight and box size, Featured, Offers and reviews.</t>
        </is>
      </c>
      <c r="K37" s="11" t="inlineStr"/>
      <c r="L37" s="11" t="inlineStr">
        <is>
          <t>Not Run</t>
        </is>
      </c>
      <c r="M37" s="11" t="inlineStr">
        <is>
          <t>Medium</t>
        </is>
      </c>
      <c r="N37" s="11" t="inlineStr">
        <is>
          <t>UI/UX</t>
        </is>
      </c>
      <c r="O37" s="11" t="inlineStr"/>
      <c r="P37" s="11" t="inlineStr"/>
      <c r="Q37" s="11" t="inlineStr"/>
      <c r="R37" s="11" t="inlineStr"/>
      <c r="S37" s="11" t="inlineStr">
        <is>
          <t>Store owner</t>
        </is>
      </c>
      <c r="T37" s="11" t="inlineStr">
        <is>
          <t>No</t>
        </is>
      </c>
      <c r="U37" s="11" t="inlineStr">
        <is>
          <t>docs/qa/regression/vendor-cms/VC-04-products.md</t>
        </is>
      </c>
    </row>
    <row r="38">
      <c r="A38" s="11" t="inlineStr">
        <is>
          <t>VC-04-010</t>
        </is>
      </c>
      <c r="B38" s="11" t="inlineStr">
        <is>
          <t>Vendor CMS</t>
        </is>
      </c>
      <c r="C38" s="11" t="inlineStr">
        <is>
          <t>VC-04 · Products and product editor</t>
        </is>
      </c>
      <c r="D38" s="11" t="inlineStr">
        <is>
          <t>Editor</t>
        </is>
      </c>
      <c r="E38" s="11" t="inlineStr">
        <is>
          <t>GST preview</t>
        </is>
      </c>
      <c r="F38" s="11" t="inlineStr">
        <is>
          <t>The GST split preview follows the price.</t>
        </is>
      </c>
      <c r="G38" s="11" t="inlineStr">
        <is>
          <t>Signed in as Home Orbit's owner (or super admin with Manage store on Home Orbit)</t>
        </is>
      </c>
      <c r="H38" s="11" t="inlineStr">
        <is>
          <t>Price ₹1,849, GST 18%</t>
        </is>
      </c>
      <c r="I38" s="11" t="inlineStr">
        <is>
          <t>1. Enter the price
2. Read the line under Price and GST
3. Verify the expected result.</t>
        </is>
      </c>
      <c r="J38" s="11" t="inlineStr">
        <is>
          <t>"For ₹1,849.00 the taxable value is ₹1,566.95 and GST is ₹282.05" (prices include GST).</t>
        </is>
      </c>
      <c r="K38" s="11" t="inlineStr"/>
      <c r="L38" s="11" t="inlineStr">
        <is>
          <t>Not Run</t>
        </is>
      </c>
      <c r="M38" s="11" t="inlineStr">
        <is>
          <t>Medium</t>
        </is>
      </c>
      <c r="N38" s="11" t="inlineStr">
        <is>
          <t>Functional</t>
        </is>
      </c>
      <c r="O38" s="11" t="inlineStr"/>
      <c r="P38" s="11" t="inlineStr"/>
      <c r="Q38" s="11" t="inlineStr"/>
      <c r="R38" s="11" t="inlineStr"/>
      <c r="S38" s="11" t="inlineStr">
        <is>
          <t>Store owner</t>
        </is>
      </c>
      <c r="T38" s="11" t="inlineStr">
        <is>
          <t>No</t>
        </is>
      </c>
      <c r="U38" s="11" t="inlineStr">
        <is>
          <t>docs/qa/regression/vendor-cms/VC-04-products.md</t>
        </is>
      </c>
    </row>
    <row r="39">
      <c r="A39" s="11" t="inlineStr">
        <is>
          <t>VC-04-011</t>
        </is>
      </c>
      <c r="B39" s="11" t="inlineStr">
        <is>
          <t>Vendor CMS</t>
        </is>
      </c>
      <c r="C39" s="11" t="inlineStr">
        <is>
          <t>VC-04 · Products and product editor</t>
        </is>
      </c>
      <c r="D39" s="11" t="inlineStr">
        <is>
          <t>Editor</t>
        </is>
      </c>
      <c r="E39" s="11" t="inlineStr">
        <is>
          <t>Finish offered reaches the store</t>
        </is>
      </c>
      <c r="F39" s="11" t="inlineStr">
        <is>
          <t>Unticking a finish removes it from the store.</t>
        </is>
      </c>
      <c r="G39" s="11" t="inlineStr">
        <is>
          <t>Signed in as Home Orbit's owner (or super admin with Manage store on Home Orbit)</t>
        </is>
      </c>
      <c r="H39" s="11" t="inlineStr">
        <is>
          <t>HOPH-504: untick Black matt</t>
        </is>
      </c>
      <c r="I39" s="11" t="inlineStr">
        <is>
          <t>1. Untick Black matt under Specifications
2. Save
3. Open the product on http://home-orbit.localhost:3000
4. Tick it again and Save
5. Verify the expected result.</t>
        </is>
      </c>
      <c r="J39" s="11" t="inlineStr">
        <is>
          <t>Black matt is gone from the finish choices, then back.</t>
        </is>
      </c>
      <c r="K39" s="11" t="inlineStr"/>
      <c r="L39" s="11" t="inlineStr">
        <is>
          <t>Not Run</t>
        </is>
      </c>
      <c r="M39" s="11" t="inlineStr">
        <is>
          <t>High</t>
        </is>
      </c>
      <c r="N39" s="11" t="inlineStr">
        <is>
          <t>Integration</t>
        </is>
      </c>
      <c r="O39" s="11" t="inlineStr"/>
      <c r="P39" s="11" t="inlineStr"/>
      <c r="Q39" s="11" t="inlineStr"/>
      <c r="R39" s="11" t="inlineStr"/>
      <c r="S39" s="11" t="inlineStr">
        <is>
          <t>Store owner</t>
        </is>
      </c>
      <c r="T39" s="11" t="inlineStr">
        <is>
          <t>No</t>
        </is>
      </c>
      <c r="U39" s="11" t="inlineStr">
        <is>
          <t>docs/qa/regression/vendor-cms/VC-04-products.md</t>
        </is>
      </c>
    </row>
    <row r="40">
      <c r="A40" s="11" t="inlineStr">
        <is>
          <t>VC-04-012</t>
        </is>
      </c>
      <c r="B40" s="11" t="inlineStr">
        <is>
          <t>Vendor CMS</t>
        </is>
      </c>
      <c r="C40" s="11" t="inlineStr">
        <is>
          <t>VC-04 · Products and product editor</t>
        </is>
      </c>
      <c r="D40" s="11" t="inlineStr">
        <is>
          <t>Variants</t>
        </is>
      </c>
      <c r="E40" s="11" t="inlineStr">
        <is>
          <t>Create variants</t>
        </is>
      </c>
      <c r="F40" s="11" t="inlineStr">
        <is>
          <t>Variants are created for every combination once.</t>
        </is>
      </c>
      <c r="G40" s="11" t="inlineStr">
        <is>
          <t>Signed in as Home Orbit's owner (or super admin with Manage store on Home Orbit)</t>
        </is>
      </c>
      <c r="H40" s="11" t="inlineStr">
        <is>
          <t>HOPH-504 with 3 sizes and 5 finishes</t>
        </is>
      </c>
      <c r="I40" s="11" t="inlineStr">
        <is>
          <t>1. Press Create variants for every combination
2. Press it again
3. Verify the expected result.</t>
        </is>
      </c>
      <c r="J40" s="11" t="inlineStr">
        <is>
          <t>"15 variants created" with codes like HOPH-504-8-INCH-ANTIQUE; the second press says "Every combination already has a variant".</t>
        </is>
      </c>
      <c r="K40" s="11" t="inlineStr"/>
      <c r="L40" s="11" t="inlineStr">
        <is>
          <t>Not Run</t>
        </is>
      </c>
      <c r="M40" s="11" t="inlineStr">
        <is>
          <t>High</t>
        </is>
      </c>
      <c r="N40" s="11" t="inlineStr">
        <is>
          <t>Functional</t>
        </is>
      </c>
      <c r="O40" s="11" t="inlineStr"/>
      <c r="P40" s="11" t="inlineStr"/>
      <c r="Q40" s="11" t="inlineStr"/>
      <c r="R40" s="11" t="inlineStr"/>
      <c r="S40" s="11" t="inlineStr">
        <is>
          <t>Store owner</t>
        </is>
      </c>
      <c r="T40" s="11" t="inlineStr">
        <is>
          <t>No</t>
        </is>
      </c>
      <c r="U40" s="11" t="inlineStr">
        <is>
          <t>docs/qa/regression/vendor-cms/VC-04-products.md</t>
        </is>
      </c>
    </row>
    <row r="41">
      <c r="A41" s="11" t="inlineStr">
        <is>
          <t>VC-04-013</t>
        </is>
      </c>
      <c r="B41" s="11" t="inlineStr">
        <is>
          <t>Vendor CMS</t>
        </is>
      </c>
      <c r="C41" s="11" t="inlineStr">
        <is>
          <t>VC-04 · Products and product editor</t>
        </is>
      </c>
      <c r="D41" s="11" t="inlineStr">
        <is>
          <t>Rules</t>
        </is>
      </c>
      <c r="E41" s="11" t="inlineStr">
        <is>
          <t>Active needs a photo</t>
        </is>
      </c>
      <c r="F41" s="11" t="inlineStr">
        <is>
          <t>A product cannot be active without a photo.</t>
        </is>
      </c>
      <c r="G41" s="11" t="inlineStr">
        <is>
          <t>Signed in as Home Orbit's owner (or super admin with Manage store on Home Orbit)</t>
        </is>
      </c>
      <c r="H41" s="11" t="inlineStr">
        <is>
          <t>Test handle, TEST-1, Aldrops, Active, no photo</t>
        </is>
      </c>
      <c r="I41" s="11" t="inlineStr">
        <is>
          <t>1. Add product with these values
2. Save
3. Verify the expected result.</t>
        </is>
      </c>
      <c r="J41" s="11" t="inlineStr">
        <is>
          <t>Refused with "Add at least one photo before making the product active" (and a label details note); saving as Draft works.</t>
        </is>
      </c>
      <c r="K41" s="11" t="inlineStr"/>
      <c r="L41" s="11" t="inlineStr">
        <is>
          <t>Not Run</t>
        </is>
      </c>
      <c r="M41" s="11" t="inlineStr">
        <is>
          <t>Critical</t>
        </is>
      </c>
      <c r="N41" s="11" t="inlineStr">
        <is>
          <t>Validation</t>
        </is>
      </c>
      <c r="O41" s="11" t="inlineStr"/>
      <c r="P41" s="11" t="inlineStr"/>
      <c r="Q41" s="11" t="inlineStr"/>
      <c r="R41" s="11" t="inlineStr"/>
      <c r="S41" s="11" t="inlineStr">
        <is>
          <t>Store owner</t>
        </is>
      </c>
      <c r="T41" s="11" t="inlineStr">
        <is>
          <t>Yes</t>
        </is>
      </c>
      <c r="U41" s="11" t="inlineStr">
        <is>
          <t>docs/qa/regression/vendor-cms/VC-04-products.md</t>
        </is>
      </c>
    </row>
    <row r="42">
      <c r="A42" s="11" t="inlineStr">
        <is>
          <t>VC-04-014</t>
        </is>
      </c>
      <c r="B42" s="11" t="inlineStr">
        <is>
          <t>Vendor CMS</t>
        </is>
      </c>
      <c r="C42" s="11" t="inlineStr">
        <is>
          <t>VC-04 · Products and product editor</t>
        </is>
      </c>
      <c r="D42" s="11" t="inlineStr">
        <is>
          <t>Rules</t>
        </is>
      </c>
      <c r="E42" s="11" t="inlineStr">
        <is>
          <t>Online selling needs price and HSN</t>
        </is>
      </c>
      <c r="F42" s="11" t="inlineStr">
        <is>
          <t>Buy online needs a selling price and HSN.</t>
        </is>
      </c>
      <c r="G42" s="11" t="inlineStr">
        <is>
          <t>Signed in as Home Orbit's owner (or super admin with Manage store on Home Orbit)</t>
        </is>
      </c>
      <c r="H42" s="11" t="inlineStr">
        <is>
          <t>How shoppers buy = Buy online, no price</t>
        </is>
      </c>
      <c r="I42" s="11" t="inlineStr">
        <is>
          <t>1. Set Buy online without a price
2. Make it Active and Save
3. Verify the expected result.</t>
        </is>
      </c>
      <c r="J42" s="11" t="inlineStr">
        <is>
          <t>"Products sold online need a selling price and an HSN code"; back to "Request a quote only" saves.</t>
        </is>
      </c>
      <c r="K42" s="11" t="inlineStr"/>
      <c r="L42" s="11" t="inlineStr">
        <is>
          <t>Not Run</t>
        </is>
      </c>
      <c r="M42" s="11" t="inlineStr">
        <is>
          <t>High</t>
        </is>
      </c>
      <c r="N42" s="11" t="inlineStr">
        <is>
          <t>Validation</t>
        </is>
      </c>
      <c r="O42" s="11" t="inlineStr"/>
      <c r="P42" s="11" t="inlineStr"/>
      <c r="Q42" s="11" t="inlineStr"/>
      <c r="R42" s="11" t="inlineStr"/>
      <c r="S42" s="11" t="inlineStr">
        <is>
          <t>Store owner</t>
        </is>
      </c>
      <c r="T42" s="11" t="inlineStr">
        <is>
          <t>No</t>
        </is>
      </c>
      <c r="U42" s="11" t="inlineStr">
        <is>
          <t>docs/qa/regression/vendor-cms/VC-04-products.md</t>
        </is>
      </c>
    </row>
    <row r="43">
      <c r="A43" s="11" t="inlineStr">
        <is>
          <t>VC-04-015</t>
        </is>
      </c>
      <c r="B43" s="11" t="inlineStr">
        <is>
          <t>Vendor CMS</t>
        </is>
      </c>
      <c r="C43" s="11" t="inlineStr">
        <is>
          <t>VC-04 · Products and product editor</t>
        </is>
      </c>
      <c r="D43" s="11" t="inlineStr">
        <is>
          <t>Rules</t>
        </is>
      </c>
      <c r="E43" s="11" t="inlineStr">
        <is>
          <t>Duplicate model number</t>
        </is>
      </c>
      <c r="F43" s="11" t="inlineStr">
        <is>
          <t>A model number used by another product is refused.</t>
        </is>
      </c>
      <c r="G43" s="11" t="inlineStr">
        <is>
          <t>Signed in as Home Orbit's owner (or super admin with Manage store on Home Orbit)</t>
        </is>
      </c>
      <c r="H43" s="11" t="inlineStr">
        <is>
          <t>Model number HOPH-504 on a new product</t>
        </is>
      </c>
      <c r="I43" s="11" t="inlineStr">
        <is>
          <t>1. Create a product with model number HOPH-504
2. Save
3. Verify the expected result.</t>
        </is>
      </c>
      <c r="J43" s="11" t="inlineStr">
        <is>
          <t>Refused as already used in this store.</t>
        </is>
      </c>
      <c r="K43" s="11" t="inlineStr"/>
      <c r="L43" s="11" t="inlineStr">
        <is>
          <t>Not Run</t>
        </is>
      </c>
      <c r="M43" s="11" t="inlineStr">
        <is>
          <t>High</t>
        </is>
      </c>
      <c r="N43" s="11" t="inlineStr">
        <is>
          <t>Validation</t>
        </is>
      </c>
      <c r="O43" s="11" t="inlineStr"/>
      <c r="P43" s="11" t="inlineStr"/>
      <c r="Q43" s="11" t="inlineStr"/>
      <c r="R43" s="11" t="inlineStr">
        <is>
          <t>Requires confirmation that model numbers are unique per store.</t>
        </is>
      </c>
      <c r="S43" s="11" t="inlineStr">
        <is>
          <t>Store owner</t>
        </is>
      </c>
      <c r="T43" s="11" t="inlineStr">
        <is>
          <t>No</t>
        </is>
      </c>
      <c r="U43" s="11" t="inlineStr">
        <is>
          <t>docs/qa/regression/vendor-cms/VC-04-products.md</t>
        </is>
      </c>
    </row>
    <row r="44">
      <c r="A44" s="11" t="inlineStr">
        <is>
          <t>VC-04-016</t>
        </is>
      </c>
      <c r="B44" s="11" t="inlineStr">
        <is>
          <t>Vendor CMS</t>
        </is>
      </c>
      <c r="C44" s="11" t="inlineStr">
        <is>
          <t>VC-04 · Products and product editor</t>
        </is>
      </c>
      <c r="D44" s="11" t="inlineStr">
        <is>
          <t>Rules</t>
        </is>
      </c>
      <c r="E44" s="11" t="inlineStr">
        <is>
          <t>Plan product limit</t>
        </is>
      </c>
      <c r="F44" s="11" t="inlineStr">
        <is>
          <t>Products beyond the plan limit are refused.</t>
        </is>
      </c>
      <c r="G44" s="11" t="inlineStr">
        <is>
          <t>A store at its plan's product limit (lower a test plan's limit)</t>
        </is>
      </c>
      <c r="H44" s="11" t="inlineStr">
        <is>
          <t>One more product</t>
        </is>
      </c>
      <c r="I44" s="11" t="inlineStr">
        <is>
          <t>1. Try to add a product past the limit
2. Verify the expected result.</t>
        </is>
      </c>
      <c r="J44" s="11" t="inlineStr">
        <is>
          <t>Refused with the plan limit message; the list header shows the limit.</t>
        </is>
      </c>
      <c r="K44" s="11" t="inlineStr"/>
      <c r="L44" s="11" t="inlineStr">
        <is>
          <t>Not Run</t>
        </is>
      </c>
      <c r="M44" s="11" t="inlineStr">
        <is>
          <t>Medium</t>
        </is>
      </c>
      <c r="N44" s="11" t="inlineStr">
        <is>
          <t>Boundary</t>
        </is>
      </c>
      <c r="O44" s="11" t="inlineStr"/>
      <c r="P44" s="11" t="inlineStr"/>
      <c r="Q44" s="11" t="inlineStr"/>
      <c r="R44" s="11" t="inlineStr">
        <is>
          <t>Use a test plan with a small limit on a throw-away store.</t>
        </is>
      </c>
      <c r="S44" s="11" t="inlineStr">
        <is>
          <t>Store owner</t>
        </is>
      </c>
      <c r="T44" s="11" t="inlineStr">
        <is>
          <t>No</t>
        </is>
      </c>
      <c r="U44" s="11" t="inlineStr">
        <is>
          <t>docs/qa/regression/vendor-cms/VC-04-products.md</t>
        </is>
      </c>
    </row>
    <row r="45">
      <c r="A45" s="11" t="inlineStr">
        <is>
          <t>VC-04-017</t>
        </is>
      </c>
      <c r="B45" s="11" t="inlineStr">
        <is>
          <t>Vendor CMS</t>
        </is>
      </c>
      <c r="C45" s="11" t="inlineStr">
        <is>
          <t>VC-04 · Products and product editor</t>
        </is>
      </c>
      <c r="D45" s="11" t="inlineStr">
        <is>
          <t>Persistence</t>
        </is>
      </c>
      <c r="E45" s="11" t="inlineStr">
        <is>
          <t>Edit and reload</t>
        </is>
      </c>
      <c r="F45" s="11" t="inlineStr">
        <is>
          <t>Edits persist after reload and appear on the store.</t>
        </is>
      </c>
      <c r="G45" s="11" t="inlineStr">
        <is>
          <t>Signed in as Home Orbit's owner (or super admin with Manage store on Home Orbit)</t>
        </is>
      </c>
      <c r="H45" s="11" t="inlineStr">
        <is>
          <t>Short description "QA edit"</t>
        </is>
      </c>
      <c r="I45" s="11" t="inlineStr">
        <is>
          <t>1. Change the short description of an active product
2. Save
3. Reload the editor
4. Open it on the store
5. Verify the expected result.</t>
        </is>
      </c>
      <c r="J45" s="11" t="inlineStr">
        <is>
          <t>The new text shows in both places.</t>
        </is>
      </c>
      <c r="K45" s="11" t="inlineStr"/>
      <c r="L45" s="11" t="inlineStr">
        <is>
          <t>Not Run</t>
        </is>
      </c>
      <c r="M45" s="11" t="inlineStr">
        <is>
          <t>High</t>
        </is>
      </c>
      <c r="N45" s="11" t="inlineStr">
        <is>
          <t>Data persistence</t>
        </is>
      </c>
      <c r="O45" s="11" t="inlineStr"/>
      <c r="P45" s="11" t="inlineStr"/>
      <c r="Q45" s="11" t="inlineStr"/>
      <c r="R45" s="11" t="inlineStr">
        <is>
          <t>Also: Integration</t>
        </is>
      </c>
      <c r="S45" s="11" t="inlineStr">
        <is>
          <t>Store owner</t>
        </is>
      </c>
      <c r="T45" s="11" t="inlineStr">
        <is>
          <t>No</t>
        </is>
      </c>
      <c r="U45" s="11" t="inlineStr">
        <is>
          <t>docs/qa/regression/vendor-cms/VC-04-products.md</t>
        </is>
      </c>
    </row>
    <row r="46">
      <c r="A46" s="11" t="inlineStr">
        <is>
          <t>VC-04-018</t>
        </is>
      </c>
      <c r="B46" s="11" t="inlineStr">
        <is>
          <t>Vendor CMS</t>
        </is>
      </c>
      <c r="C46" s="11" t="inlineStr">
        <is>
          <t>VC-04 · Products and product editor</t>
        </is>
      </c>
      <c r="D46" s="11" t="inlineStr">
        <is>
          <t>Versions</t>
        </is>
      </c>
      <c r="E46" s="11" t="inlineStr">
        <is>
          <t>Restore a version</t>
        </is>
      </c>
      <c r="F46" s="11" t="inlineStr">
        <is>
          <t>An earlier version can be restored.</t>
        </is>
      </c>
      <c r="G46" s="11" t="inlineStr">
        <is>
          <t>Signed in as Home Orbit's owner (or super admin with Manage store on Home Orbit)</t>
        </is>
      </c>
      <c r="H46" s="11" t="inlineStr">
        <is>
          <t>Product edited twice</t>
        </is>
      </c>
      <c r="I46" s="11" t="inlineStr">
        <is>
          <t>1. Open the Versions tab
2. Restore the earlier version
3. Verify the expected result.</t>
        </is>
      </c>
      <c r="J46" s="11" t="inlineStr">
        <is>
          <t>The product returns to the earlier values.</t>
        </is>
      </c>
      <c r="K46" s="11" t="inlineStr"/>
      <c r="L46" s="11" t="inlineStr">
        <is>
          <t>Not Run</t>
        </is>
      </c>
      <c r="M46" s="11" t="inlineStr">
        <is>
          <t>Low</t>
        </is>
      </c>
      <c r="N46" s="11" t="inlineStr">
        <is>
          <t>Functional</t>
        </is>
      </c>
      <c r="O46" s="11" t="inlineStr"/>
      <c r="P46" s="11" t="inlineStr"/>
      <c r="Q46" s="11" t="inlineStr"/>
      <c r="R46" s="11" t="inlineStr"/>
      <c r="S46" s="11" t="inlineStr">
        <is>
          <t>Store owner</t>
        </is>
      </c>
      <c r="T46" s="11" t="inlineStr">
        <is>
          <t>No</t>
        </is>
      </c>
      <c r="U46" s="11" t="inlineStr">
        <is>
          <t>docs/qa/regression/vendor-cms/VC-04-products.md</t>
        </is>
      </c>
    </row>
    <row r="47">
      <c r="A47" s="11" t="inlineStr">
        <is>
          <t>VC-05-001</t>
        </is>
      </c>
      <c r="B47" s="11" t="inlineStr">
        <is>
          <t>Vendor CMS</t>
        </is>
      </c>
      <c r="C47" s="11" t="inlineStr">
        <is>
          <t>VC-05 · Categories</t>
        </is>
      </c>
      <c r="D47" s="11" t="inlineStr">
        <is>
          <t>Tree</t>
        </is>
      </c>
      <c r="E47" s="11" t="inlineStr">
        <is>
          <t>Tree with counts</t>
        </is>
      </c>
      <c r="F47" s="11" t="inlineStr">
        <is>
          <t>Categories show as a tree with product counts.</t>
        </is>
      </c>
      <c r="G47" s="11" t="inlineStr">
        <is>
          <t>Signed in as Home Orbit's owner (or super admin with Manage store on Home Orbit)</t>
        </is>
      </c>
      <c r="H47" s="11" t="inlineStr">
        <is>
          <t>—</t>
        </is>
      </c>
      <c r="I47" s="11" t="inlineStr">
        <is>
          <t>1. Open Catalog → Categories
2. Verify the expected result.</t>
        </is>
      </c>
      <c r="J47" s="11" t="inlineStr">
        <is>
          <t>Door hardware 50 with its four subcategories, Home decor, Bathroom accessories and children, with counts.</t>
        </is>
      </c>
      <c r="K47" s="11" t="inlineStr">
        <is>
          <t>13 categories; tree with counts (Door hardware 50, Aldrops 18, Pull handles 8, Glass door handles 12, …).</t>
        </is>
      </c>
      <c r="L47" s="11" t="inlineStr">
        <is>
          <t>Pass</t>
        </is>
      </c>
      <c r="M47" s="11" t="inlineStr">
        <is>
          <t>High</t>
        </is>
      </c>
      <c r="N47" s="11" t="inlineStr">
        <is>
          <t>UI/UX</t>
        </is>
      </c>
      <c r="O47" s="11" t="inlineStr">
        <is>
          <t>Claude (Claude in Chrome)</t>
        </is>
      </c>
      <c r="P47" s="11" t="inlineStr">
        <is>
          <t>2026-10-10</t>
        </is>
      </c>
      <c r="Q47" s="11" t="inlineStr"/>
      <c r="R47" s="11" t="inlineStr"/>
      <c r="S47" s="11" t="inlineStr">
        <is>
          <t>Store owner</t>
        </is>
      </c>
      <c r="T47" s="11" t="inlineStr">
        <is>
          <t>Yes</t>
        </is>
      </c>
      <c r="U47" s="11" t="inlineStr">
        <is>
          <t>docs/qa/regression/vendor-cms/VC-05-categories.md</t>
        </is>
      </c>
    </row>
    <row r="48">
      <c r="A48" s="11" t="inlineStr">
        <is>
          <t>VC-05-002</t>
        </is>
      </c>
      <c r="B48" s="11" t="inlineStr">
        <is>
          <t>Vendor CMS</t>
        </is>
      </c>
      <c r="C48" s="11" t="inlineStr">
        <is>
          <t>VC-05 · Categories</t>
        </is>
      </c>
      <c r="D48" s="11" t="inlineStr">
        <is>
          <t>Tree</t>
        </is>
      </c>
      <c r="E48" s="11" t="inlineStr">
        <is>
          <t>Drag to reorder</t>
        </is>
      </c>
      <c r="F48" s="11" t="inlineStr">
        <is>
          <t>Dragging reorders and the order is kept.</t>
        </is>
      </c>
      <c r="G48" s="11" t="inlineStr">
        <is>
          <t>Signed in as Home Orbit's owner (or super admin with Manage store on Home Orbit)</t>
        </is>
      </c>
      <c r="H48" s="11" t="inlineStr">
        <is>
          <t>Towel racks above Towel rings</t>
        </is>
      </c>
      <c r="I48" s="11" t="inlineStr">
        <is>
          <t>1. Drag Towel racks above Towel rings
2. Reload
3. Open the store menu on http://home-orbit.localhost:3000
4. Verify the expected result.</t>
        </is>
      </c>
      <c r="J48" s="11" t="inlineStr">
        <is>
          <t>The new order stays after reload and is the order of menus and tiles.</t>
        </is>
      </c>
      <c r="K48" s="11" t="inlineStr"/>
      <c r="L48" s="11" t="inlineStr">
        <is>
          <t>Not Run</t>
        </is>
      </c>
      <c r="M48" s="11" t="inlineStr">
        <is>
          <t>High</t>
        </is>
      </c>
      <c r="N48" s="11" t="inlineStr">
        <is>
          <t>Data persistence</t>
        </is>
      </c>
      <c r="O48" s="11" t="inlineStr"/>
      <c r="P48" s="11" t="inlineStr"/>
      <c r="Q48" s="11" t="inlineStr"/>
      <c r="R48" s="11" t="inlineStr">
        <is>
          <t>Also: Integration</t>
        </is>
      </c>
      <c r="S48" s="11" t="inlineStr">
        <is>
          <t>Store owner</t>
        </is>
      </c>
      <c r="T48" s="11" t="inlineStr">
        <is>
          <t>No</t>
        </is>
      </c>
      <c r="U48" s="11" t="inlineStr">
        <is>
          <t>docs/qa/regression/vendor-cms/VC-05-categories.md</t>
        </is>
      </c>
    </row>
    <row r="49">
      <c r="A49" s="11" t="inlineStr">
        <is>
          <t>VC-05-003</t>
        </is>
      </c>
      <c r="B49" s="11" t="inlineStr">
        <is>
          <t>Vendor CMS</t>
        </is>
      </c>
      <c r="C49" s="11" t="inlineStr">
        <is>
          <t>VC-05 · Categories</t>
        </is>
      </c>
      <c r="D49" s="11" t="inlineStr">
        <is>
          <t>Tree</t>
        </is>
      </c>
      <c r="E49" s="11" t="inlineStr">
        <is>
          <t>Nest by dropping</t>
        </is>
      </c>
      <c r="F49" s="11" t="inlineStr">
        <is>
          <t>Dropping onto a category nests it; more than 3 levels is refused.</t>
        </is>
      </c>
      <c r="G49" s="11" t="inlineStr">
        <is>
          <t>Signed in as Home Orbit's owner (or super admin with Manage store on Home Orbit)</t>
        </is>
      </c>
      <c r="H49" s="11" t="inlineStr">
        <is>
          <t>A test category</t>
        </is>
      </c>
      <c r="I49" s="11" t="inlineStr">
        <is>
          <t>1. Drop Test category onto Aldrops (level 3)
2. Try to drop another category onto Test category (level 4)
3. Verify the expected result.</t>
        </is>
      </c>
      <c r="J49" s="11" t="inlineStr">
        <is>
          <t>The first works; the 4th level is refused with a message.</t>
        </is>
      </c>
      <c r="K49" s="11" t="inlineStr"/>
      <c r="L49" s="11" t="inlineStr">
        <is>
          <t>Not Run</t>
        </is>
      </c>
      <c r="M49" s="11" t="inlineStr">
        <is>
          <t>Medium</t>
        </is>
      </c>
      <c r="N49" s="11" t="inlineStr">
        <is>
          <t>Boundary</t>
        </is>
      </c>
      <c r="O49" s="11" t="inlineStr"/>
      <c r="P49" s="11" t="inlineStr"/>
      <c r="Q49" s="11" t="inlineStr"/>
      <c r="R49" s="11" t="inlineStr"/>
      <c r="S49" s="11" t="inlineStr">
        <is>
          <t>Store owner</t>
        </is>
      </c>
      <c r="T49" s="11" t="inlineStr">
        <is>
          <t>No</t>
        </is>
      </c>
      <c r="U49" s="11" t="inlineStr">
        <is>
          <t>docs/qa/regression/vendor-cms/VC-05-categories.md</t>
        </is>
      </c>
    </row>
    <row r="50">
      <c r="A50" s="11" t="inlineStr">
        <is>
          <t>VC-05-004</t>
        </is>
      </c>
      <c r="B50" s="11" t="inlineStr">
        <is>
          <t>Vendor CMS</t>
        </is>
      </c>
      <c r="C50" s="11" t="inlineStr">
        <is>
          <t>VC-05 · Categories</t>
        </is>
      </c>
      <c r="D50" s="11" t="inlineStr">
        <is>
          <t>Tree</t>
        </is>
      </c>
      <c r="E50" s="11" t="inlineStr">
        <is>
          <t>Keyboard moves</t>
        </is>
      </c>
      <c r="F50" s="11" t="inlineStr">
        <is>
          <t>Alt + arrow keys move a category.</t>
        </is>
      </c>
      <c r="G50" s="11" t="inlineStr">
        <is>
          <t>Signed in as Home Orbit's owner (or super admin with Manage store on Home Orbit)</t>
        </is>
      </c>
      <c r="H50" s="11" t="inlineStr">
        <is>
          <t>—</t>
        </is>
      </c>
      <c r="I50" s="11" t="inlineStr">
        <is>
          <t>1. Focus a category name
2. Press Alt + Up
3. Reload
4. Verify the expected result.</t>
        </is>
      </c>
      <c r="J50" s="11" t="inlineStr">
        <is>
          <t>It moves up one place and stays there.</t>
        </is>
      </c>
      <c r="K50" s="11" t="inlineStr"/>
      <c r="L50" s="11" t="inlineStr">
        <is>
          <t>Not Run</t>
        </is>
      </c>
      <c r="M50" s="11" t="inlineStr">
        <is>
          <t>Low</t>
        </is>
      </c>
      <c r="N50" s="11" t="inlineStr">
        <is>
          <t>Accessibility</t>
        </is>
      </c>
      <c r="O50" s="11" t="inlineStr"/>
      <c r="P50" s="11" t="inlineStr"/>
      <c r="Q50" s="11" t="inlineStr"/>
      <c r="R50" s="11" t="inlineStr"/>
      <c r="S50" s="11" t="inlineStr">
        <is>
          <t>Store owner</t>
        </is>
      </c>
      <c r="T50" s="11" t="inlineStr">
        <is>
          <t>No</t>
        </is>
      </c>
      <c r="U50" s="11" t="inlineStr">
        <is>
          <t>docs/qa/regression/vendor-cms/VC-05-categories.md</t>
        </is>
      </c>
    </row>
    <row r="51">
      <c r="A51" s="11" t="inlineStr">
        <is>
          <t>VC-05-005</t>
        </is>
      </c>
      <c r="B51" s="11" t="inlineStr">
        <is>
          <t>Vendor CMS</t>
        </is>
      </c>
      <c r="C51" s="11" t="inlineStr">
        <is>
          <t>VC-05 · Categories</t>
        </is>
      </c>
      <c r="D51" s="11" t="inlineStr">
        <is>
          <t>Form</t>
        </is>
      </c>
      <c r="E51" s="11" t="inlineStr">
        <is>
          <t>Slug from name</t>
        </is>
      </c>
      <c r="F51" s="11" t="inlineStr">
        <is>
          <t>The slug fills from the name.</t>
        </is>
      </c>
      <c r="G51" s="11" t="inlineStr">
        <is>
          <t>Signed in as Home Orbit's owner (or super admin with Manage store on Home Orbit)</t>
        </is>
      </c>
      <c r="H51" s="11" t="inlineStr">
        <is>
          <t>Name "Test category"</t>
        </is>
      </c>
      <c r="I51" s="11" t="inlineStr">
        <is>
          <t>1. Create a category with only the name
2. Save
3. Verify the expected result.</t>
        </is>
      </c>
      <c r="J51" s="11" t="inlineStr">
        <is>
          <t>Slug test-category; it shows in the tree.</t>
        </is>
      </c>
      <c r="K51" s="11" t="inlineStr"/>
      <c r="L51" s="11" t="inlineStr">
        <is>
          <t>Not Run</t>
        </is>
      </c>
      <c r="M51" s="11" t="inlineStr">
        <is>
          <t>Medium</t>
        </is>
      </c>
      <c r="N51" s="11" t="inlineStr">
        <is>
          <t>Functional</t>
        </is>
      </c>
      <c r="O51" s="11" t="inlineStr"/>
      <c r="P51" s="11" t="inlineStr"/>
      <c r="Q51" s="11" t="inlineStr"/>
      <c r="R51" s="11" t="inlineStr"/>
      <c r="S51" s="11" t="inlineStr">
        <is>
          <t>Store owner</t>
        </is>
      </c>
      <c r="T51" s="11" t="inlineStr">
        <is>
          <t>No</t>
        </is>
      </c>
      <c r="U51" s="11" t="inlineStr">
        <is>
          <t>docs/qa/regression/vendor-cms/VC-05-categories.md</t>
        </is>
      </c>
    </row>
    <row r="52">
      <c r="A52" s="11" t="inlineStr">
        <is>
          <t>VC-05-006</t>
        </is>
      </c>
      <c r="B52" s="11" t="inlineStr">
        <is>
          <t>Vendor CMS</t>
        </is>
      </c>
      <c r="C52" s="11" t="inlineStr">
        <is>
          <t>VC-05 · Categories</t>
        </is>
      </c>
      <c r="D52" s="11" t="inlineStr">
        <is>
          <t>Form</t>
        </is>
      </c>
      <c r="E52" s="11" t="inlineStr">
        <is>
          <t>Name required</t>
        </is>
      </c>
      <c r="F52" s="11" t="inlineStr">
        <is>
          <t>A category needs a name.</t>
        </is>
      </c>
      <c r="G52" s="11" t="inlineStr">
        <is>
          <t>Signed in as Home Orbit's owner (or super admin with Manage store on Home Orbit)</t>
        </is>
      </c>
      <c r="H52" s="11" t="inlineStr">
        <is>
          <t>Empty name</t>
        </is>
      </c>
      <c r="I52" s="11" t="inlineStr">
        <is>
          <t>1. Create a category with no name
2. Save
3. Verify the expected result.</t>
        </is>
      </c>
      <c r="J52" s="11" t="inlineStr">
        <is>
          <t>Refused with a required field message.</t>
        </is>
      </c>
      <c r="K52" s="11" t="inlineStr"/>
      <c r="L52" s="11" t="inlineStr">
        <is>
          <t>Not Run</t>
        </is>
      </c>
      <c r="M52" s="11" t="inlineStr">
        <is>
          <t>Medium</t>
        </is>
      </c>
      <c r="N52" s="11" t="inlineStr">
        <is>
          <t>Validation</t>
        </is>
      </c>
      <c r="O52" s="11" t="inlineStr"/>
      <c r="P52" s="11" t="inlineStr"/>
      <c r="Q52" s="11" t="inlineStr"/>
      <c r="R52" s="11" t="inlineStr"/>
      <c r="S52" s="11" t="inlineStr">
        <is>
          <t>Store owner</t>
        </is>
      </c>
      <c r="T52" s="11" t="inlineStr">
        <is>
          <t>No</t>
        </is>
      </c>
      <c r="U52" s="11" t="inlineStr">
        <is>
          <t>docs/qa/regression/vendor-cms/VC-05-categories.md</t>
        </is>
      </c>
    </row>
    <row r="53">
      <c r="A53" s="11" t="inlineStr">
        <is>
          <t>VC-05-007</t>
        </is>
      </c>
      <c r="B53" s="11" t="inlineStr">
        <is>
          <t>Vendor CMS</t>
        </is>
      </c>
      <c r="C53" s="11" t="inlineStr">
        <is>
          <t>VC-05 · Categories</t>
        </is>
      </c>
      <c r="D53" s="11" t="inlineStr">
        <is>
          <t>Form</t>
        </is>
      </c>
      <c r="E53" s="11" t="inlineStr">
        <is>
          <t>No loops</t>
        </is>
      </c>
      <c r="F53" s="11" t="inlineStr">
        <is>
          <t>A category cannot be its own parent or descendant's child.</t>
        </is>
      </c>
      <c r="G53" s="11" t="inlineStr">
        <is>
          <t>Signed in as Home Orbit's owner (or super admin with Manage store on Home Orbit)</t>
        </is>
      </c>
      <c r="H53" s="11" t="inlineStr">
        <is>
          <t>Door hardware parent = Aldrops</t>
        </is>
      </c>
      <c r="I53" s="11" t="inlineStr">
        <is>
          <t>1. Set Door hardware's parent to Aldrops
2. Save
3. Verify the expected result.</t>
        </is>
      </c>
      <c r="J53" s="11" t="inlineStr">
        <is>
          <t>Refused (would create a loop).</t>
        </is>
      </c>
      <c r="K53" s="11" t="inlineStr"/>
      <c r="L53" s="11" t="inlineStr">
        <is>
          <t>Not Run</t>
        </is>
      </c>
      <c r="M53" s="11" t="inlineStr">
        <is>
          <t>Medium</t>
        </is>
      </c>
      <c r="N53" s="11" t="inlineStr">
        <is>
          <t>Negative</t>
        </is>
      </c>
      <c r="O53" s="11" t="inlineStr"/>
      <c r="P53" s="11" t="inlineStr"/>
      <c r="Q53" s="11" t="inlineStr"/>
      <c r="R53" s="11" t="inlineStr"/>
      <c r="S53" s="11" t="inlineStr">
        <is>
          <t>Store owner</t>
        </is>
      </c>
      <c r="T53" s="11" t="inlineStr">
        <is>
          <t>No</t>
        </is>
      </c>
      <c r="U53" s="11" t="inlineStr">
        <is>
          <t>docs/qa/regression/vendor-cms/VC-05-categories.md</t>
        </is>
      </c>
    </row>
    <row r="54">
      <c r="A54" s="11" t="inlineStr">
        <is>
          <t>VC-05-008</t>
        </is>
      </c>
      <c r="B54" s="11" t="inlineStr">
        <is>
          <t>Vendor CMS</t>
        </is>
      </c>
      <c r="C54" s="11" t="inlineStr">
        <is>
          <t>VC-05 · Categories</t>
        </is>
      </c>
      <c r="D54" s="11" t="inlineStr">
        <is>
          <t>Form</t>
        </is>
      </c>
      <c r="E54" s="11" t="inlineStr">
        <is>
          <t>View on store</t>
        </is>
      </c>
      <c r="F54" s="11" t="inlineStr">
        <is>
          <t>View on store opens the category page.</t>
        </is>
      </c>
      <c r="G54" s="11" t="inlineStr">
        <is>
          <t>Signed in as Home Orbit's owner (or super admin with Manage store on Home Orbit)</t>
        </is>
      </c>
      <c r="H54" s="11" t="inlineStr">
        <is>
          <t>Aldrops</t>
        </is>
      </c>
      <c r="I54" s="11" t="inlineStr">
        <is>
          <t>1. Open Aldrops
2. Press View on store
3. Verify the expected result.</t>
        </is>
      </c>
      <c r="J54" s="11" t="inlineStr">
        <is>
          <t>http://home-orbit.localhost:3000/c/door-hardware/aldrops opens.</t>
        </is>
      </c>
      <c r="K54" s="11" t="inlineStr"/>
      <c r="L54" s="11" t="inlineStr">
        <is>
          <t>Not Run</t>
        </is>
      </c>
      <c r="M54" s="11" t="inlineStr">
        <is>
          <t>Low</t>
        </is>
      </c>
      <c r="N54" s="11" t="inlineStr">
        <is>
          <t>Integration</t>
        </is>
      </c>
      <c r="O54" s="11" t="inlineStr"/>
      <c r="P54" s="11" t="inlineStr"/>
      <c r="Q54" s="11" t="inlineStr"/>
      <c r="R54" s="11" t="inlineStr"/>
      <c r="S54" s="11" t="inlineStr">
        <is>
          <t>Store owner</t>
        </is>
      </c>
      <c r="T54" s="11" t="inlineStr">
        <is>
          <t>No</t>
        </is>
      </c>
      <c r="U54" s="11" t="inlineStr">
        <is>
          <t>docs/qa/regression/vendor-cms/VC-05-categories.md</t>
        </is>
      </c>
    </row>
    <row r="55">
      <c r="A55" s="11" t="inlineStr">
        <is>
          <t>VC-05-009</t>
        </is>
      </c>
      <c r="B55" s="11" t="inlineStr">
        <is>
          <t>Vendor CMS</t>
        </is>
      </c>
      <c r="C55" s="11" t="inlineStr">
        <is>
          <t>VC-05 · Categories</t>
        </is>
      </c>
      <c r="D55" s="11" t="inlineStr">
        <is>
          <t>Form</t>
        </is>
      </c>
      <c r="E55" s="11" t="inlineStr">
        <is>
          <t>Hide from store</t>
        </is>
      </c>
      <c r="F55" s="11" t="inlineStr">
        <is>
          <t>Unticking Show on store hides the category.</t>
        </is>
      </c>
      <c r="G55" s="11" t="inlineStr">
        <is>
          <t>Signed in as Home Orbit's owner (or super admin with Manage store on Home Orbit)</t>
        </is>
      </c>
      <c r="H55" s="11" t="inlineStr">
        <is>
          <t>Test category with a product</t>
        </is>
      </c>
      <c r="I55" s="11" t="inlineStr">
        <is>
          <t>1. Untick Show on store
2. Save
3. Open its store address
4. Verify the expected result.</t>
        </is>
      </c>
      <c r="J55" s="11" t="inlineStr">
        <is>
          <t>The category is gone from menus and its address shows not found.</t>
        </is>
      </c>
      <c r="K55" s="11" t="inlineStr"/>
      <c r="L55" s="11" t="inlineStr">
        <is>
          <t>Not Run</t>
        </is>
      </c>
      <c r="M55" s="11" t="inlineStr">
        <is>
          <t>Medium</t>
        </is>
      </c>
      <c r="N55" s="11" t="inlineStr">
        <is>
          <t>Integration</t>
        </is>
      </c>
      <c r="O55" s="11" t="inlineStr"/>
      <c r="P55" s="11" t="inlineStr"/>
      <c r="Q55" s="11" t="inlineStr"/>
      <c r="R55" s="11" t="inlineStr"/>
      <c r="S55" s="11" t="inlineStr">
        <is>
          <t>Store owner</t>
        </is>
      </c>
      <c r="T55" s="11" t="inlineStr">
        <is>
          <t>No</t>
        </is>
      </c>
      <c r="U55" s="11" t="inlineStr">
        <is>
          <t>docs/qa/regression/vendor-cms/VC-05-categories.md</t>
        </is>
      </c>
    </row>
    <row r="56">
      <c r="A56" s="11" t="inlineStr">
        <is>
          <t>VC-06-001</t>
        </is>
      </c>
      <c r="B56" s="11" t="inlineStr">
        <is>
          <t>Vendor CMS</t>
        </is>
      </c>
      <c r="C56" s="11" t="inlineStr">
        <is>
          <t>VC-06 · Attribute sets</t>
        </is>
      </c>
      <c r="D56" s="11" t="inlineStr">
        <is>
          <t>Layout</t>
        </is>
      </c>
      <c r="E56" s="11" t="inlineStr">
        <is>
          <t>Sets and table</t>
        </is>
      </c>
      <c r="F56" s="11" t="inlineStr">
        <is>
          <t>Attribute sets show the sets list and the field table.</t>
        </is>
      </c>
      <c r="G56" s="11" t="inlineStr">
        <is>
          <t>Signed in as Home Orbit's owner (or super admin with Manage store on Home Orbit)</t>
        </is>
      </c>
      <c r="H56" s="11" t="inlineStr">
        <is>
          <t>Open Aldrops</t>
        </is>
      </c>
      <c r="I56" s="11" t="inlineStr">
        <is>
          <t>1. Open Catalog → Attribute sets
2. Open Aldrops
3. Verify the expected result.</t>
        </is>
      </c>
      <c r="J56" s="11" t="inlineStr">
        <is>
          <t>Sets on the left with "N fields · M categories"; a table of fields with Filter, Finish option, Compare and Required ticks; Options for Finish with swatches.</t>
        </is>
      </c>
      <c r="K56" s="11" t="inlineStr"/>
      <c r="L56" s="11" t="inlineStr">
        <is>
          <t>Not Run</t>
        </is>
      </c>
      <c r="M56" s="11" t="inlineStr">
        <is>
          <t>Medium</t>
        </is>
      </c>
      <c r="N56" s="11" t="inlineStr">
        <is>
          <t>UI/UX</t>
        </is>
      </c>
      <c r="O56" s="11" t="inlineStr"/>
      <c r="P56" s="11" t="inlineStr"/>
      <c r="Q56" s="11" t="inlineStr"/>
      <c r="R56" s="11" t="inlineStr"/>
      <c r="S56" s="11" t="inlineStr">
        <is>
          <t>Store owner</t>
        </is>
      </c>
      <c r="T56" s="11" t="inlineStr">
        <is>
          <t>No</t>
        </is>
      </c>
      <c r="U56" s="11" t="inlineStr">
        <is>
          <t>docs/qa/regression/vendor-cms/VC-06-attribute-sets.md</t>
        </is>
      </c>
    </row>
    <row r="57">
      <c r="A57" s="11" t="inlineStr">
        <is>
          <t>VC-06-002</t>
        </is>
      </c>
      <c r="B57" s="11" t="inlineStr">
        <is>
          <t>Vendor CMS</t>
        </is>
      </c>
      <c r="C57" s="11" t="inlineStr">
        <is>
          <t>VC-06 · Attribute sets</t>
        </is>
      </c>
      <c r="D57" s="11" t="inlineStr">
        <is>
          <t>Editor</t>
        </is>
      </c>
      <c r="E57" s="11" t="inlineStr">
        <is>
          <t>Live table</t>
        </is>
      </c>
      <c r="F57" s="11" t="inlineStr">
        <is>
          <t>The table follows edits before saving.</t>
        </is>
      </c>
      <c r="G57" s="11" t="inlineStr">
        <is>
          <t>Signed in as Home Orbit's owner (or super admin with Manage store on Home Orbit)</t>
        </is>
      </c>
      <c r="H57" s="11" t="inlineStr">
        <is>
          <t>Rename a field label</t>
        </is>
      </c>
      <c r="I57" s="11" t="inlineStr">
        <is>
          <t>1. Change a field label below the table
2. Verify the expected result.</t>
        </is>
      </c>
      <c r="J57" s="11" t="inlineStr">
        <is>
          <t>The table shows the new label as you type.</t>
        </is>
      </c>
      <c r="K57" s="11" t="inlineStr"/>
      <c r="L57" s="11" t="inlineStr">
        <is>
          <t>Not Run</t>
        </is>
      </c>
      <c r="M57" s="11" t="inlineStr">
        <is>
          <t>Low</t>
        </is>
      </c>
      <c r="N57" s="11" t="inlineStr">
        <is>
          <t>UI/UX</t>
        </is>
      </c>
      <c r="O57" s="11" t="inlineStr"/>
      <c r="P57" s="11" t="inlineStr"/>
      <c r="Q57" s="11" t="inlineStr"/>
      <c r="R57" s="11" t="inlineStr"/>
      <c r="S57" s="11" t="inlineStr">
        <is>
          <t>Store owner</t>
        </is>
      </c>
      <c r="T57" s="11" t="inlineStr">
        <is>
          <t>No</t>
        </is>
      </c>
      <c r="U57" s="11" t="inlineStr">
        <is>
          <t>docs/qa/regression/vendor-cms/VC-06-attribute-sets.md</t>
        </is>
      </c>
    </row>
    <row r="58">
      <c r="A58" s="11" t="inlineStr">
        <is>
          <t>VC-06-003</t>
        </is>
      </c>
      <c r="B58" s="11" t="inlineStr">
        <is>
          <t>Vendor CMS</t>
        </is>
      </c>
      <c r="C58" s="11" t="inlineStr">
        <is>
          <t>VC-06 · Attribute sets</t>
        </is>
      </c>
      <c r="D58" s="11" t="inlineStr">
        <is>
          <t>Validation</t>
        </is>
      </c>
      <c r="E58" s="11" t="inlineStr">
        <is>
          <t>Unique codes</t>
        </is>
      </c>
      <c r="F58" s="11" t="inlineStr">
        <is>
          <t>Two fields cannot share a code.</t>
        </is>
      </c>
      <c r="G58" s="11" t="inlineStr">
        <is>
          <t>Signed in as Home Orbit's owner (or super admin with Manage store on Home Orbit)</t>
        </is>
      </c>
      <c r="H58" s="11" t="inlineStr">
        <is>
          <t>Two fields with code "finish"</t>
        </is>
      </c>
      <c r="I58" s="11" t="inlineStr">
        <is>
          <t>1. Add a field with an existing code
2. Save
3. Verify the expected result.</t>
        </is>
      </c>
      <c r="J58" s="11" t="inlineStr">
        <is>
          <t>Refused naming the duplicate code.</t>
        </is>
      </c>
      <c r="K58" s="11" t="inlineStr"/>
      <c r="L58" s="11" t="inlineStr">
        <is>
          <t>Not Run</t>
        </is>
      </c>
      <c r="M58" s="11" t="inlineStr">
        <is>
          <t>High</t>
        </is>
      </c>
      <c r="N58" s="11" t="inlineStr">
        <is>
          <t>Validation</t>
        </is>
      </c>
      <c r="O58" s="11" t="inlineStr"/>
      <c r="P58" s="11" t="inlineStr"/>
      <c r="Q58" s="11" t="inlineStr"/>
      <c r="R58" s="11" t="inlineStr"/>
      <c r="S58" s="11" t="inlineStr">
        <is>
          <t>Store owner</t>
        </is>
      </c>
      <c r="T58" s="11" t="inlineStr">
        <is>
          <t>No</t>
        </is>
      </c>
      <c r="U58" s="11" t="inlineStr">
        <is>
          <t>docs/qa/regression/vendor-cms/VC-06-attribute-sets.md</t>
        </is>
      </c>
    </row>
    <row r="59">
      <c r="A59" s="11" t="inlineStr">
        <is>
          <t>VC-06-004</t>
        </is>
      </c>
      <c r="B59" s="11" t="inlineStr">
        <is>
          <t>Vendor CMS</t>
        </is>
      </c>
      <c r="C59" s="11" t="inlineStr">
        <is>
          <t>VC-06 · Attribute sets</t>
        </is>
      </c>
      <c r="D59" s="11" t="inlineStr">
        <is>
          <t>Validation</t>
        </is>
      </c>
      <c r="E59" s="11" t="inlineStr">
        <is>
          <t>Options required</t>
        </is>
      </c>
      <c r="F59" s="11" t="inlineStr">
        <is>
          <t>Select fields need options.</t>
        </is>
      </c>
      <c r="G59" s="11" t="inlineStr">
        <is>
          <t>Signed in as Home Orbit's owner (or super admin with Manage store on Home Orbit)</t>
        </is>
      </c>
      <c r="H59" s="11" t="inlineStr">
        <is>
          <t>A select field with no options</t>
        </is>
      </c>
      <c r="I59" s="11" t="inlineStr">
        <is>
          <t>1. Add a select field without options
2. Save
3. Verify the expected result.</t>
        </is>
      </c>
      <c r="J59" s="11" t="inlineStr">
        <is>
          <t>Refused with a message about missing options.</t>
        </is>
      </c>
      <c r="K59" s="11" t="inlineStr"/>
      <c r="L59" s="11" t="inlineStr">
        <is>
          <t>Not Run</t>
        </is>
      </c>
      <c r="M59" s="11" t="inlineStr">
        <is>
          <t>Medium</t>
        </is>
      </c>
      <c r="N59" s="11" t="inlineStr">
        <is>
          <t>Validation</t>
        </is>
      </c>
      <c r="O59" s="11" t="inlineStr"/>
      <c r="P59" s="11" t="inlineStr"/>
      <c r="Q59" s="11" t="inlineStr"/>
      <c r="R59" s="11" t="inlineStr"/>
      <c r="S59" s="11" t="inlineStr">
        <is>
          <t>Store owner</t>
        </is>
      </c>
      <c r="T59" s="11" t="inlineStr">
        <is>
          <t>No</t>
        </is>
      </c>
      <c r="U59" s="11" t="inlineStr">
        <is>
          <t>docs/qa/regression/vendor-cms/VC-06-attribute-sets.md</t>
        </is>
      </c>
    </row>
    <row r="60">
      <c r="A60" s="11" t="inlineStr">
        <is>
          <t>VC-06-005</t>
        </is>
      </c>
      <c r="B60" s="11" t="inlineStr">
        <is>
          <t>Vendor CMS</t>
        </is>
      </c>
      <c r="C60" s="11" t="inlineStr">
        <is>
          <t>VC-06 · Attribute sets</t>
        </is>
      </c>
      <c r="D60" s="11" t="inlineStr">
        <is>
          <t>Validation</t>
        </is>
      </c>
      <c r="E60" s="11" t="inlineStr">
        <is>
          <t>At most 3 variant options</t>
        </is>
      </c>
      <c r="F60" s="11" t="inlineStr">
        <is>
          <t>No more than 3 fields can be finish/variant options.</t>
        </is>
      </c>
      <c r="G60" s="11" t="inlineStr">
        <is>
          <t>Signed in as Home Orbit's owner (or super admin with Manage store on Home Orbit)</t>
        </is>
      </c>
      <c r="H60" s="11" t="inlineStr">
        <is>
          <t>Tick Finish option on a 4th field</t>
        </is>
      </c>
      <c r="I60" s="11" t="inlineStr">
        <is>
          <t>1. Tick a 4th variant option
2. Save
3. Verify the expected result.</t>
        </is>
      </c>
      <c r="J60" s="11" t="inlineStr">
        <is>
          <t>Refused: at most 3 variant options.</t>
        </is>
      </c>
      <c r="K60" s="11" t="inlineStr"/>
      <c r="L60" s="11" t="inlineStr">
        <is>
          <t>Not Run</t>
        </is>
      </c>
      <c r="M60" s="11" t="inlineStr">
        <is>
          <t>Medium</t>
        </is>
      </c>
      <c r="N60" s="11" t="inlineStr">
        <is>
          <t>Boundary</t>
        </is>
      </c>
      <c r="O60" s="11" t="inlineStr"/>
      <c r="P60" s="11" t="inlineStr"/>
      <c r="Q60" s="11" t="inlineStr"/>
      <c r="R60" s="11" t="inlineStr"/>
      <c r="S60" s="11" t="inlineStr">
        <is>
          <t>Store owner</t>
        </is>
      </c>
      <c r="T60" s="11" t="inlineStr">
        <is>
          <t>No</t>
        </is>
      </c>
      <c r="U60" s="11" t="inlineStr">
        <is>
          <t>docs/qa/regression/vendor-cms/VC-06-attribute-sets.md</t>
        </is>
      </c>
    </row>
    <row r="61">
      <c r="A61" s="11" t="inlineStr">
        <is>
          <t>VC-06-006</t>
        </is>
      </c>
      <c r="B61" s="11" t="inlineStr">
        <is>
          <t>Vendor CMS</t>
        </is>
      </c>
      <c r="C61" s="11" t="inlineStr">
        <is>
          <t>VC-06 · Attribute sets</t>
        </is>
      </c>
      <c r="D61" s="11" t="inlineStr">
        <is>
          <t>Integration</t>
        </is>
      </c>
      <c r="E61" s="11" t="inlineStr">
        <is>
          <t>Filters on the store</t>
        </is>
      </c>
      <c r="F61" s="11" t="inlineStr">
        <is>
          <t>Filterable fields become category filters.</t>
        </is>
      </c>
      <c r="G61" s="11" t="inlineStr">
        <is>
          <t>Signed in as Home Orbit's owner (or super admin with Manage store on Home Orbit)</t>
        </is>
      </c>
      <c r="H61" s="11" t="inlineStr">
        <is>
          <t>Tick Filter on Finish</t>
        </is>
      </c>
      <c r="I61" s="11" t="inlineStr">
        <is>
          <t>1. Tick Filter
2. Save
3. Open the category on http://home-orbit.localhost:3000
4. Verify the expected result.</t>
        </is>
      </c>
      <c r="J61" s="11" t="inlineStr">
        <is>
          <t>A Finish filter with counts appears on the category page.</t>
        </is>
      </c>
      <c r="K61" s="11" t="inlineStr"/>
      <c r="L61" s="11" t="inlineStr">
        <is>
          <t>Not Run</t>
        </is>
      </c>
      <c r="M61" s="11" t="inlineStr">
        <is>
          <t>High</t>
        </is>
      </c>
      <c r="N61" s="11" t="inlineStr">
        <is>
          <t>Integration</t>
        </is>
      </c>
      <c r="O61" s="11" t="inlineStr"/>
      <c r="P61" s="11" t="inlineStr"/>
      <c r="Q61" s="11" t="inlineStr"/>
      <c r="R61" s="11" t="inlineStr"/>
      <c r="S61" s="11" t="inlineStr">
        <is>
          <t>Store owner</t>
        </is>
      </c>
      <c r="T61" s="11" t="inlineStr">
        <is>
          <t>No</t>
        </is>
      </c>
      <c r="U61" s="11" t="inlineStr">
        <is>
          <t>docs/qa/regression/vendor-cms/VC-06-attribute-sets.md</t>
        </is>
      </c>
    </row>
    <row r="62">
      <c r="A62" s="11" t="inlineStr">
        <is>
          <t>VC-07-001</t>
        </is>
      </c>
      <c r="B62" s="11" t="inlineStr">
        <is>
          <t>Vendor CMS</t>
        </is>
      </c>
      <c r="C62" s="11" t="inlineStr">
        <is>
          <t>VC-07 · Brands, Documents and Variants</t>
        </is>
      </c>
      <c r="D62" s="11" t="inlineStr">
        <is>
          <t>Brands</t>
        </is>
      </c>
      <c r="E62" s="11" t="inlineStr">
        <is>
          <t>Create brand</t>
        </is>
      </c>
      <c r="F62" s="11" t="inlineStr">
        <is>
          <t>A brand saves with a name.</t>
        </is>
      </c>
      <c r="G62" s="11" t="inlineStr">
        <is>
          <t>Signed in as Home Orbit's owner (or super admin with Manage store on Home Orbit)</t>
        </is>
      </c>
      <c r="H62" s="11" t="inlineStr">
        <is>
          <t>Brand "Home Orbit Premium"</t>
        </is>
      </c>
      <c r="I62" s="11" t="inlineStr">
        <is>
          <t>1. Open Catalog → Brands
2. Create New
3. Type the name, Save
4. Verify the expected result.</t>
        </is>
      </c>
      <c r="J62" s="11" t="inlineStr">
        <is>
          <t>The brand is listed; an empty name is refused.</t>
        </is>
      </c>
      <c r="K62" s="11" t="inlineStr"/>
      <c r="L62" s="11" t="inlineStr">
        <is>
          <t>Not Run</t>
        </is>
      </c>
      <c r="M62" s="11" t="inlineStr">
        <is>
          <t>Low</t>
        </is>
      </c>
      <c r="N62" s="11" t="inlineStr">
        <is>
          <t>Functional</t>
        </is>
      </c>
      <c r="O62" s="11" t="inlineStr"/>
      <c r="P62" s="11" t="inlineStr"/>
      <c r="Q62" s="11" t="inlineStr"/>
      <c r="R62" s="11" t="inlineStr"/>
      <c r="S62" s="11" t="inlineStr">
        <is>
          <t>Store owner</t>
        </is>
      </c>
      <c r="T62" s="11" t="inlineStr">
        <is>
          <t>No</t>
        </is>
      </c>
      <c r="U62" s="11" t="inlineStr">
        <is>
          <t>docs/qa/regression/vendor-cms/VC-07-brands-documents.md</t>
        </is>
      </c>
    </row>
    <row r="63">
      <c r="A63" s="11" t="inlineStr">
        <is>
          <t>VC-07-002</t>
        </is>
      </c>
      <c r="B63" s="11" t="inlineStr">
        <is>
          <t>Vendor CMS</t>
        </is>
      </c>
      <c r="C63" s="11" t="inlineStr">
        <is>
          <t>VC-07 · Brands, Documents and Variants</t>
        </is>
      </c>
      <c r="D63" s="11" t="inlineStr">
        <is>
          <t>Brands</t>
        </is>
      </c>
      <c r="E63" s="11" t="inlineStr">
        <is>
          <t>Duplicate brand</t>
        </is>
      </c>
      <c r="F63" s="11" t="inlineStr">
        <is>
          <t>Two brands with the same slug are refused.</t>
        </is>
      </c>
      <c r="G63" s="11" t="inlineStr">
        <is>
          <t>Signed in as Home Orbit's owner (or super admin with Manage store on Home Orbit)</t>
        </is>
      </c>
      <c r="H63" s="11" t="inlineStr">
        <is>
          <t>Same name again</t>
        </is>
      </c>
      <c r="I63" s="11" t="inlineStr">
        <is>
          <t>1. Create a brand with the same name
2. Verify the expected result.</t>
        </is>
      </c>
      <c r="J63" s="11" t="inlineStr">
        <is>
          <t>Refused as already used.</t>
        </is>
      </c>
      <c r="K63" s="11" t="inlineStr"/>
      <c r="L63" s="11" t="inlineStr">
        <is>
          <t>Not Run</t>
        </is>
      </c>
      <c r="M63" s="11" t="inlineStr">
        <is>
          <t>Low</t>
        </is>
      </c>
      <c r="N63" s="11" t="inlineStr">
        <is>
          <t>Validation</t>
        </is>
      </c>
      <c r="O63" s="11" t="inlineStr"/>
      <c r="P63" s="11" t="inlineStr"/>
      <c r="Q63" s="11" t="inlineStr"/>
      <c r="R63" s="11" t="inlineStr"/>
      <c r="S63" s="11" t="inlineStr">
        <is>
          <t>Store owner</t>
        </is>
      </c>
      <c r="T63" s="11" t="inlineStr">
        <is>
          <t>No</t>
        </is>
      </c>
      <c r="U63" s="11" t="inlineStr">
        <is>
          <t>docs/qa/regression/vendor-cms/VC-07-brands-documents.md</t>
        </is>
      </c>
    </row>
    <row r="64">
      <c r="A64" s="11" t="inlineStr">
        <is>
          <t>VC-07-003</t>
        </is>
      </c>
      <c r="B64" s="11" t="inlineStr">
        <is>
          <t>Vendor CMS</t>
        </is>
      </c>
      <c r="C64" s="11" t="inlineStr">
        <is>
          <t>VC-07 · Brands, Documents and Variants</t>
        </is>
      </c>
      <c r="D64" s="11" t="inlineStr">
        <is>
          <t>Documents</t>
        </is>
      </c>
      <c r="E64" s="11" t="inlineStr">
        <is>
          <t>Add a PDF</t>
        </is>
      </c>
      <c r="F64" s="11" t="inlineStr">
        <is>
          <t>A product document with a PDF saves and links to a product.</t>
        </is>
      </c>
      <c r="G64" s="11" t="inlineStr">
        <is>
          <t>Signed in as Home Orbit's owner (or super admin with Manage store on Home Orbit)</t>
        </is>
      </c>
      <c r="H64" s="11" t="inlineStr">
        <is>
          <t>Title "Aldrop spec sheet", type Spec sheet, a small PDF, Show on the Downloads page</t>
        </is>
      </c>
      <c r="I64" s="11" t="inlineStr">
        <is>
          <t>1. Open Catalog → Documents
2. Create New with the PDF
3. Link it on product HOAL-101 (Documents section)
4. Save
5. Verify the expected result.</t>
        </is>
      </c>
      <c r="J64" s="11" t="inlineStr">
        <is>
          <t>The document is listed; http://home-orbit.localhost:3000/downloads lists it; the product page shows it under Downloads.</t>
        </is>
      </c>
      <c r="K64" s="11" t="inlineStr"/>
      <c r="L64" s="11" t="inlineStr">
        <is>
          <t>Not Run</t>
        </is>
      </c>
      <c r="M64" s="11" t="inlineStr">
        <is>
          <t>Medium</t>
        </is>
      </c>
      <c r="N64" s="11" t="inlineStr">
        <is>
          <t>Integration</t>
        </is>
      </c>
      <c r="O64" s="11" t="inlineStr"/>
      <c r="P64" s="11" t="inlineStr"/>
      <c r="Q64" s="11" t="inlineStr"/>
      <c r="R64" s="11" t="inlineStr"/>
      <c r="S64" s="11" t="inlineStr">
        <is>
          <t>Store owner</t>
        </is>
      </c>
      <c r="T64" s="11" t="inlineStr">
        <is>
          <t>No</t>
        </is>
      </c>
      <c r="U64" s="11" t="inlineStr">
        <is>
          <t>docs/qa/regression/vendor-cms/VC-07-brands-documents.md</t>
        </is>
      </c>
    </row>
    <row r="65">
      <c r="A65" s="11" t="inlineStr">
        <is>
          <t>VC-07-004</t>
        </is>
      </c>
      <c r="B65" s="11" t="inlineStr">
        <is>
          <t>Vendor CMS</t>
        </is>
      </c>
      <c r="C65" s="11" t="inlineStr">
        <is>
          <t>VC-07 · Brands, Documents and Variants</t>
        </is>
      </c>
      <c r="D65" s="11" t="inlineStr">
        <is>
          <t>Documents</t>
        </is>
      </c>
      <c r="E65" s="11" t="inlineStr">
        <is>
          <t>PDF only</t>
        </is>
      </c>
      <c r="F65" s="11" t="inlineStr">
        <is>
          <t>Non-PDF files are refused as documents.</t>
        </is>
      </c>
      <c r="G65" s="11" t="inlineStr">
        <is>
          <t>Signed in as Home Orbit's owner (or super admin with Manage store on Home Orbit)</t>
        </is>
      </c>
      <c r="H65" s="11" t="inlineStr">
        <is>
          <t>A .jpg file</t>
        </is>
      </c>
      <c r="I65" s="11" t="inlineStr">
        <is>
          <t>1. Try to attach a JPG as the PDF
2. Verify the expected result.</t>
        </is>
      </c>
      <c r="J65" s="11" t="inlineStr">
        <is>
          <t>Refused (PDF required).</t>
        </is>
      </c>
      <c r="K65" s="11" t="inlineStr"/>
      <c r="L65" s="11" t="inlineStr">
        <is>
          <t>Not Run</t>
        </is>
      </c>
      <c r="M65" s="11" t="inlineStr">
        <is>
          <t>Low</t>
        </is>
      </c>
      <c r="N65" s="11" t="inlineStr">
        <is>
          <t>Validation</t>
        </is>
      </c>
      <c r="O65" s="11" t="inlineStr"/>
      <c r="P65" s="11" t="inlineStr"/>
      <c r="Q65" s="11" t="inlineStr"/>
      <c r="R65" s="11" t="inlineStr"/>
      <c r="S65" s="11" t="inlineStr">
        <is>
          <t>Store owner</t>
        </is>
      </c>
      <c r="T65" s="11" t="inlineStr">
        <is>
          <t>No</t>
        </is>
      </c>
      <c r="U65" s="11" t="inlineStr">
        <is>
          <t>docs/qa/regression/vendor-cms/VC-07-brands-documents.md</t>
        </is>
      </c>
    </row>
    <row r="66">
      <c r="A66" s="11" t="inlineStr">
        <is>
          <t>VC-07-005</t>
        </is>
      </c>
      <c r="B66" s="11" t="inlineStr">
        <is>
          <t>Vendor CMS</t>
        </is>
      </c>
      <c r="C66" s="11" t="inlineStr">
        <is>
          <t>VC-07 · Brands, Documents and Variants</t>
        </is>
      </c>
      <c r="D66" s="11" t="inlineStr">
        <is>
          <t>Variants</t>
        </is>
      </c>
      <c r="E66" s="11" t="inlineStr">
        <is>
          <t>Variants list</t>
        </is>
      </c>
      <c r="F66" s="11" t="inlineStr">
        <is>
          <t>The Variants list shows SKUs with stock and status.</t>
        </is>
      </c>
      <c r="G66" s="11" t="inlineStr">
        <is>
          <t>Signed in as Home Orbit's owner (or super admin with Manage store on Home Orbit); variants created</t>
        </is>
      </c>
      <c r="H66" s="11" t="inlineStr">
        <is>
          <t>—</t>
        </is>
      </c>
      <c r="I66" s="11" t="inlineStr">
        <is>
          <t>1. Open Catalog → Variants
2. Verify the expected result.</t>
        </is>
      </c>
      <c r="J66" s="11" t="inlineStr">
        <is>
          <t>Columns SKU, title, product, stock, status; search by SKU works.</t>
        </is>
      </c>
      <c r="K66" s="11" t="inlineStr"/>
      <c r="L66" s="11" t="inlineStr">
        <is>
          <t>Not Run</t>
        </is>
      </c>
      <c r="M66" s="11" t="inlineStr">
        <is>
          <t>Low</t>
        </is>
      </c>
      <c r="N66" s="11" t="inlineStr">
        <is>
          <t>Functional</t>
        </is>
      </c>
      <c r="O66" s="11" t="inlineStr"/>
      <c r="P66" s="11" t="inlineStr"/>
      <c r="Q66" s="11" t="inlineStr"/>
      <c r="R66" s="11" t="inlineStr"/>
      <c r="S66" s="11" t="inlineStr">
        <is>
          <t>Store owner</t>
        </is>
      </c>
      <c r="T66" s="11" t="inlineStr">
        <is>
          <t>No</t>
        </is>
      </c>
      <c r="U66" s="11" t="inlineStr">
        <is>
          <t>docs/qa/regression/vendor-cms/VC-07-brands-documents.md</t>
        </is>
      </c>
    </row>
    <row r="67">
      <c r="A67" s="11" t="inlineStr">
        <is>
          <t>VC-07-006</t>
        </is>
      </c>
      <c r="B67" s="11" t="inlineStr">
        <is>
          <t>Vendor CMS</t>
        </is>
      </c>
      <c r="C67" s="11" t="inlineStr">
        <is>
          <t>VC-07 · Brands, Documents and Variants</t>
        </is>
      </c>
      <c r="D67" s="11" t="inlineStr">
        <is>
          <t>Variants</t>
        </is>
      </c>
      <c r="E67" s="11" t="inlineStr">
        <is>
          <t>Stock edit reaches store</t>
        </is>
      </c>
      <c r="F67" s="11" t="inlineStr">
        <is>
          <t>Changing a variant's stock changes the store.</t>
        </is>
      </c>
      <c r="G67" s="11" t="inlineStr">
        <is>
          <t>Signed in as Home Orbit's owner (or super admin with Manage store on Home Orbit); store selling: `pnpm demo:selling home-orbit` run; variants exist</t>
        </is>
      </c>
      <c r="H67" s="11" t="inlineStr">
        <is>
          <t>Stock 0 on one variant</t>
        </is>
      </c>
      <c r="I67" s="11" t="inlineStr">
        <is>
          <t>1. Set In stock = 0 on a variant
2. Save
3. Open the product on the store and pick that finish
4. Verify the expected result.</t>
        </is>
      </c>
      <c r="J67" s="11" t="inlineStr">
        <is>
          <t>The store says Out of stock for that finish and cannot add it to the cart.</t>
        </is>
      </c>
      <c r="K67" s="11" t="inlineStr"/>
      <c r="L67" s="11" t="inlineStr">
        <is>
          <t>Not Run</t>
        </is>
      </c>
      <c r="M67" s="11" t="inlineStr">
        <is>
          <t>High</t>
        </is>
      </c>
      <c r="N67" s="11" t="inlineStr">
        <is>
          <t>Integration</t>
        </is>
      </c>
      <c r="O67" s="11" t="inlineStr"/>
      <c r="P67" s="11" t="inlineStr"/>
      <c r="Q67" s="11" t="inlineStr"/>
      <c r="R67" s="11" t="inlineStr"/>
      <c r="S67" s="11" t="inlineStr">
        <is>
          <t>Store owner</t>
        </is>
      </c>
      <c r="T67" s="11" t="inlineStr">
        <is>
          <t>No</t>
        </is>
      </c>
      <c r="U67" s="11" t="inlineStr">
        <is>
          <t>docs/qa/regression/vendor-cms/VC-07-brands-documents.md</t>
        </is>
      </c>
    </row>
    <row r="68">
      <c r="A68" s="11" t="inlineStr">
        <is>
          <t>VC-08-001</t>
        </is>
      </c>
      <c r="B68" s="11" t="inlineStr">
        <is>
          <t>Vendor CMS</t>
        </is>
      </c>
      <c r="C68" s="11" t="inlineStr">
        <is>
          <t>VC-08 · Import and export</t>
        </is>
      </c>
      <c r="D68" s="11" t="inlineStr">
        <is>
          <t>Templates</t>
        </is>
      </c>
      <c r="E68" s="11" t="inlineStr">
        <is>
          <t>Download template</t>
        </is>
      </c>
      <c r="F68" s="11" t="inlineStr">
        <is>
          <t>Templates download for each import kind.</t>
        </is>
      </c>
      <c r="G68" s="11" t="inlineStr">
        <is>
          <t>Signed in as Home Orbit's owner (or super admin with Manage store on Home Orbit)</t>
        </is>
      </c>
      <c r="H68" s="11" t="inlineStr">
        <is>
          <t>—</t>
        </is>
      </c>
      <c r="I68" s="11" t="inlineStr">
        <is>
          <t>1. Open Catalog → Import and export
2. Download the Products template
3. Verify the expected result.</t>
        </is>
      </c>
      <c r="J68" s="11" t="inlineStr">
        <is>
          <t>A CSV with the template columns downloads.</t>
        </is>
      </c>
      <c r="K68" s="11" t="inlineStr"/>
      <c r="L68" s="11" t="inlineStr">
        <is>
          <t>Not Run</t>
        </is>
      </c>
      <c r="M68" s="11" t="inlineStr">
        <is>
          <t>Medium</t>
        </is>
      </c>
      <c r="N68" s="11" t="inlineStr">
        <is>
          <t>Functional</t>
        </is>
      </c>
      <c r="O68" s="11" t="inlineStr"/>
      <c r="P68" s="11" t="inlineStr"/>
      <c r="Q68" s="11" t="inlineStr"/>
      <c r="R68" s="11" t="inlineStr"/>
      <c r="S68" s="11" t="inlineStr">
        <is>
          <t>Store owner</t>
        </is>
      </c>
      <c r="T68" s="11" t="inlineStr">
        <is>
          <t>No</t>
        </is>
      </c>
      <c r="U68" s="11" t="inlineStr">
        <is>
          <t>docs/qa/regression/vendor-cms/VC-08-import.md</t>
        </is>
      </c>
    </row>
    <row r="69">
      <c r="A69" s="11" t="inlineStr">
        <is>
          <t>VC-08-002</t>
        </is>
      </c>
      <c r="B69" s="11" t="inlineStr">
        <is>
          <t>Vendor CMS</t>
        </is>
      </c>
      <c r="C69" s="11" t="inlineStr">
        <is>
          <t>VC-08 · Import and export</t>
        </is>
      </c>
      <c r="D69" s="11" t="inlineStr">
        <is>
          <t>Check</t>
        </is>
      </c>
      <c r="E69" s="11" t="inlineStr">
        <is>
          <t>Bad rows found before import</t>
        </is>
      </c>
      <c r="F69" s="11" t="inlineStr">
        <is>
          <t>The check lists bad rows and changes nothing.</t>
        </is>
      </c>
      <c r="G69" s="11" t="inlineStr">
        <is>
          <t>Signed in as Home Orbit's owner (or super admin with Manage store on Home Orbit)</t>
        </is>
      </c>
      <c r="H69" s="11" t="inlineStr">
        <is>
          <t>Template with a price "4,250/-" on one row</t>
        </is>
      </c>
      <c r="I69" s="11" t="inlineStr">
        <is>
          <t>1. Upload the file
2. Verify the expected result.</t>
        </is>
      </c>
      <c r="J69" s="11" t="inlineStr">
        <is>
          <t>Figures and the bad row with "Price must be a number in rupees"; Products are unchanged so far.</t>
        </is>
      </c>
      <c r="K69" s="11" t="inlineStr"/>
      <c r="L69" s="11" t="inlineStr">
        <is>
          <t>Not Run</t>
        </is>
      </c>
      <c r="M69" s="11" t="inlineStr">
        <is>
          <t>High</t>
        </is>
      </c>
      <c r="N69" s="11" t="inlineStr">
        <is>
          <t>Validation</t>
        </is>
      </c>
      <c r="O69" s="11" t="inlineStr"/>
      <c r="P69" s="11" t="inlineStr"/>
      <c r="Q69" s="11" t="inlineStr"/>
      <c r="R69" s="11" t="inlineStr"/>
      <c r="S69" s="11" t="inlineStr">
        <is>
          <t>Store owner</t>
        </is>
      </c>
      <c r="T69" s="11" t="inlineStr">
        <is>
          <t>No</t>
        </is>
      </c>
      <c r="U69" s="11" t="inlineStr">
        <is>
          <t>docs/qa/regression/vendor-cms/VC-08-import.md</t>
        </is>
      </c>
    </row>
    <row r="70">
      <c r="A70" s="11" t="inlineStr">
        <is>
          <t>VC-08-003</t>
        </is>
      </c>
      <c r="B70" s="11" t="inlineStr">
        <is>
          <t>Vendor CMS</t>
        </is>
      </c>
      <c r="C70" s="11" t="inlineStr">
        <is>
          <t>VC-08 · Import and export</t>
        </is>
      </c>
      <c r="D70" s="11" t="inlineStr">
        <is>
          <t>Check</t>
        </is>
      </c>
      <c r="E70" s="11" t="inlineStr">
        <is>
          <t>Error report</t>
        </is>
      </c>
      <c r="F70" s="11" t="inlineStr">
        <is>
          <t>The error report downloads.</t>
        </is>
      </c>
      <c r="G70" s="11" t="inlineStr">
        <is>
          <t>A checked file with errors</t>
        </is>
      </c>
      <c r="H70" s="11" t="inlineStr">
        <is>
          <t>—</t>
        </is>
      </c>
      <c r="I70" s="11" t="inlineStr">
        <is>
          <t>1. Press Download error report
2. Verify the expected result.</t>
        </is>
      </c>
      <c r="J70" s="11" t="inlineStr">
        <is>
          <t>A CSV of the bad rows with reasons.</t>
        </is>
      </c>
      <c r="K70" s="11" t="inlineStr"/>
      <c r="L70" s="11" t="inlineStr">
        <is>
          <t>Not Run</t>
        </is>
      </c>
      <c r="M70" s="11" t="inlineStr">
        <is>
          <t>Medium</t>
        </is>
      </c>
      <c r="N70" s="11" t="inlineStr">
        <is>
          <t>Functional</t>
        </is>
      </c>
      <c r="O70" s="11" t="inlineStr"/>
      <c r="P70" s="11" t="inlineStr"/>
      <c r="Q70" s="11" t="inlineStr"/>
      <c r="R70" s="11" t="inlineStr"/>
      <c r="S70" s="11" t="inlineStr">
        <is>
          <t>Store owner</t>
        </is>
      </c>
      <c r="T70" s="11" t="inlineStr">
        <is>
          <t>No</t>
        </is>
      </c>
      <c r="U70" s="11" t="inlineStr">
        <is>
          <t>docs/qa/regression/vendor-cms/VC-08-import.md</t>
        </is>
      </c>
    </row>
    <row r="71">
      <c r="A71" s="11" t="inlineStr">
        <is>
          <t>VC-08-004</t>
        </is>
      </c>
      <c r="B71" s="11" t="inlineStr">
        <is>
          <t>Vendor CMS</t>
        </is>
      </c>
      <c r="C71" s="11" t="inlineStr">
        <is>
          <t>VC-08 · Import and export</t>
        </is>
      </c>
      <c r="D71" s="11" t="inlineStr">
        <is>
          <t>Import</t>
        </is>
      </c>
      <c r="E71" s="11" t="inlineStr">
        <is>
          <t>Import ready rows</t>
        </is>
      </c>
      <c r="F71" s="11" t="inlineStr">
        <is>
          <t>Ready rows import in the background.</t>
        </is>
      </c>
      <c r="G71" s="11" t="inlineStr">
        <is>
          <t>A checked file</t>
        </is>
      </c>
      <c r="H71" s="11" t="inlineStr">
        <is>
          <t>Two new rows with two finishes; one price change</t>
        </is>
      </c>
      <c r="I71" s="11" t="inlineStr">
        <is>
          <t>1. Press Import N ready rows
2. Wait about a minute
3. Read Recent imports and the terminal
4. Verify the expected result.</t>
        </is>
      </c>
      <c r="J71" s="11" t="inlineStr">
        <is>
          <t>Status Imported; an email printed in the terminal; the new product is a draft with both finishes; the existing SKU has its new price.</t>
        </is>
      </c>
      <c r="K71" s="11" t="inlineStr"/>
      <c r="L71" s="11" t="inlineStr">
        <is>
          <t>Not Run</t>
        </is>
      </c>
      <c r="M71" s="11" t="inlineStr">
        <is>
          <t>High</t>
        </is>
      </c>
      <c r="N71" s="11" t="inlineStr">
        <is>
          <t>Functional</t>
        </is>
      </c>
      <c r="O71" s="11" t="inlineStr"/>
      <c r="P71" s="11" t="inlineStr"/>
      <c r="Q71" s="11" t="inlineStr"/>
      <c r="R71" s="11" t="inlineStr">
        <is>
          <t>Also: Integration</t>
        </is>
      </c>
      <c r="S71" s="11" t="inlineStr">
        <is>
          <t>Store owner</t>
        </is>
      </c>
      <c r="T71" s="11" t="inlineStr">
        <is>
          <t>No</t>
        </is>
      </c>
      <c r="U71" s="11" t="inlineStr">
        <is>
          <t>docs/qa/regression/vendor-cms/VC-08-import.md</t>
        </is>
      </c>
    </row>
    <row r="72">
      <c r="A72" s="11" t="inlineStr">
        <is>
          <t>VC-08-005</t>
        </is>
      </c>
      <c r="B72" s="11" t="inlineStr">
        <is>
          <t>Vendor CMS</t>
        </is>
      </c>
      <c r="C72" s="11" t="inlineStr">
        <is>
          <t>VC-08 · Import and export</t>
        </is>
      </c>
      <c r="D72" s="11" t="inlineStr">
        <is>
          <t>Import</t>
        </is>
      </c>
      <c r="E72" s="11" t="inlineStr">
        <is>
          <t>Wrong file</t>
        </is>
      </c>
      <c r="F72" s="11" t="inlineStr">
        <is>
          <t>A non-CSV or wrong columns file is refused.</t>
        </is>
      </c>
      <c r="G72" s="11" t="inlineStr">
        <is>
          <t>Signed in as Home Orbit's owner (or super admin with Manage store on Home Orbit)</t>
        </is>
      </c>
      <c r="H72" s="11" t="inlineStr">
        <is>
          <t>A .xlsx or a CSV with other headers</t>
        </is>
      </c>
      <c r="I72" s="11" t="inlineStr">
        <is>
          <t>1. Upload the file
2. Verify the expected result.</t>
        </is>
      </c>
      <c r="J72" s="11" t="inlineStr">
        <is>
          <t>Refused with a clear message about the format or missing columns.</t>
        </is>
      </c>
      <c r="K72" s="11" t="inlineStr"/>
      <c r="L72" s="11" t="inlineStr">
        <is>
          <t>Not Run</t>
        </is>
      </c>
      <c r="M72" s="11" t="inlineStr">
        <is>
          <t>Medium</t>
        </is>
      </c>
      <c r="N72" s="11" t="inlineStr">
        <is>
          <t>Negative</t>
        </is>
      </c>
      <c r="O72" s="11" t="inlineStr"/>
      <c r="P72" s="11" t="inlineStr"/>
      <c r="Q72" s="11" t="inlineStr"/>
      <c r="R72" s="11" t="inlineStr"/>
      <c r="S72" s="11" t="inlineStr">
        <is>
          <t>Store owner</t>
        </is>
      </c>
      <c r="T72" s="11" t="inlineStr">
        <is>
          <t>No</t>
        </is>
      </c>
      <c r="U72" s="11" t="inlineStr">
        <is>
          <t>docs/qa/regression/vendor-cms/VC-08-import.md</t>
        </is>
      </c>
    </row>
    <row r="73">
      <c r="A73" s="11" t="inlineStr">
        <is>
          <t>VC-08-006</t>
        </is>
      </c>
      <c r="B73" s="11" t="inlineStr">
        <is>
          <t>Vendor CMS</t>
        </is>
      </c>
      <c r="C73" s="11" t="inlineStr">
        <is>
          <t>VC-08 · Import and export</t>
        </is>
      </c>
      <c r="D73" s="11" t="inlineStr">
        <is>
          <t>Import</t>
        </is>
      </c>
      <c r="E73" s="11" t="inlineStr">
        <is>
          <t>Stock and prices only</t>
        </is>
      </c>
      <c r="F73" s="11" t="inlineStr">
        <is>
          <t>The stock and prices import updates existing SKUs.</t>
        </is>
      </c>
      <c r="G73" s="11" t="inlineStr">
        <is>
          <t>Signed in as Home Orbit's owner (or super admin with Manage store on Home Orbit); variants exist</t>
        </is>
      </c>
      <c r="H73" s="11" t="inlineStr">
        <is>
          <t>sku,price,mrp,stock_qty for 2 SKUs; 1 unknown SKU</t>
        </is>
      </c>
      <c r="I73" s="11" t="inlineStr">
        <is>
          <t>1. Choose Stock and prices only
2. Upload and import
3. Verify the expected result.</t>
        </is>
      </c>
      <c r="J73" s="11" t="inlineStr">
        <is>
          <t>Known SKUs update; the unknown SKU is listed as an error.</t>
        </is>
      </c>
      <c r="K73" s="11" t="inlineStr"/>
      <c r="L73" s="11" t="inlineStr">
        <is>
          <t>Not Run</t>
        </is>
      </c>
      <c r="M73" s="11" t="inlineStr">
        <is>
          <t>Medium</t>
        </is>
      </c>
      <c r="N73" s="11" t="inlineStr">
        <is>
          <t>Functional</t>
        </is>
      </c>
      <c r="O73" s="11" t="inlineStr"/>
      <c r="P73" s="11" t="inlineStr"/>
      <c r="Q73" s="11" t="inlineStr"/>
      <c r="R73" s="11" t="inlineStr">
        <is>
          <t>Also: Negative</t>
        </is>
      </c>
      <c r="S73" s="11" t="inlineStr">
        <is>
          <t>Store owner</t>
        </is>
      </c>
      <c r="T73" s="11" t="inlineStr">
        <is>
          <t>No</t>
        </is>
      </c>
      <c r="U73" s="11" t="inlineStr">
        <is>
          <t>docs/qa/regression/vendor-cms/VC-08-import.md</t>
        </is>
      </c>
    </row>
    <row r="74">
      <c r="A74" s="11" t="inlineStr">
        <is>
          <t>VC-08-007</t>
        </is>
      </c>
      <c r="B74" s="11" t="inlineStr">
        <is>
          <t>Vendor CMS</t>
        </is>
      </c>
      <c r="C74" s="11" t="inlineStr">
        <is>
          <t>VC-08 · Import and export</t>
        </is>
      </c>
      <c r="D74" s="11" t="inlineStr">
        <is>
          <t>Permissions</t>
        </is>
      </c>
      <c r="E74" s="11" t="inlineStr">
        <is>
          <t>Who can import</t>
        </is>
      </c>
      <c r="F74" s="11" t="inlineStr">
        <is>
          <t>Only owners, managers and catalog editors import.</t>
        </is>
      </c>
      <c r="G74" s="11" t="inlineStr">
        <is>
          <t>Signed in as Order manager</t>
        </is>
      </c>
      <c r="H74" s="11" t="inlineStr">
        <is>
          <t>—</t>
        </is>
      </c>
      <c r="I74" s="11" t="inlineStr">
        <is>
          <t>1. Look for Import and export in the menu
2. Open http://localhost:3000/admin/import
3. Verify the expected result.</t>
        </is>
      </c>
      <c r="J74" s="11" t="inlineStr">
        <is>
          <t>Not in the menu; the page refuses access.</t>
        </is>
      </c>
      <c r="K74" s="11" t="inlineStr"/>
      <c r="L74" s="11" t="inlineStr">
        <is>
          <t>Not Run</t>
        </is>
      </c>
      <c r="M74" s="11" t="inlineStr">
        <is>
          <t>Medium</t>
        </is>
      </c>
      <c r="N74" s="11" t="inlineStr">
        <is>
          <t>Security/Permissions</t>
        </is>
      </c>
      <c r="O74" s="11" t="inlineStr"/>
      <c r="P74" s="11" t="inlineStr"/>
      <c r="Q74" s="11" t="inlineStr"/>
      <c r="R74" s="11" t="inlineStr"/>
      <c r="S74" s="11" t="inlineStr">
        <is>
          <t>Order manager</t>
        </is>
      </c>
      <c r="T74" s="11" t="inlineStr">
        <is>
          <t>No</t>
        </is>
      </c>
      <c r="U74" s="11" t="inlineStr">
        <is>
          <t>docs/qa/regression/vendor-cms/VC-08-import.md</t>
        </is>
      </c>
    </row>
    <row r="75">
      <c r="A75" s="11" t="inlineStr">
        <is>
          <t>VC-09-001</t>
        </is>
      </c>
      <c r="B75" s="11" t="inlineStr">
        <is>
          <t>Vendor CMS</t>
        </is>
      </c>
      <c r="C75" s="11" t="inlineStr">
        <is>
          <t>VC-09 · Media library</t>
        </is>
      </c>
      <c r="D75" s="11" t="inlineStr">
        <is>
          <t>Library</t>
        </is>
      </c>
      <c r="E75" s="11" t="inlineStr">
        <is>
          <t>Grid and tabs</t>
        </is>
      </c>
      <c r="F75" s="11" t="inlineStr">
        <is>
          <t>The media library shows a grid with tabs and storage.</t>
        </is>
      </c>
      <c r="G75" s="11" t="inlineStr">
        <is>
          <t>Signed in as Home Orbit's owner (or super admin with Manage store on Home Orbit)</t>
        </is>
      </c>
      <c r="H75" s="11" t="inlineStr">
        <is>
          <t>—</t>
        </is>
      </c>
      <c r="I75" s="11" t="inlineStr">
        <is>
          <t>1. Open Catalog → Media
2. Verify the expected result.</t>
        </is>
      </c>
      <c r="J75" s="11" t="inlineStr">
        <is>
          <t>Tabs All, Images, Documents, Videos; search; storage meter against the plan; a grid of files.</t>
        </is>
      </c>
      <c r="K75" s="11" t="inlineStr"/>
      <c r="L75" s="11" t="inlineStr">
        <is>
          <t>Not Run</t>
        </is>
      </c>
      <c r="M75" s="11" t="inlineStr">
        <is>
          <t>Medium</t>
        </is>
      </c>
      <c r="N75" s="11" t="inlineStr">
        <is>
          <t>UI/UX</t>
        </is>
      </c>
      <c r="O75" s="11" t="inlineStr"/>
      <c r="P75" s="11" t="inlineStr"/>
      <c r="Q75" s="11" t="inlineStr"/>
      <c r="R75" s="11" t="inlineStr"/>
      <c r="S75" s="11" t="inlineStr">
        <is>
          <t>Store owner</t>
        </is>
      </c>
      <c r="T75" s="11" t="inlineStr">
        <is>
          <t>No</t>
        </is>
      </c>
      <c r="U75" s="11" t="inlineStr">
        <is>
          <t>docs/qa/regression/vendor-cms/VC-09-media.md</t>
        </is>
      </c>
    </row>
    <row r="76">
      <c r="A76" s="11" t="inlineStr">
        <is>
          <t>VC-09-002</t>
        </is>
      </c>
      <c r="B76" s="11" t="inlineStr">
        <is>
          <t>Vendor CMS</t>
        </is>
      </c>
      <c r="C76" s="11" t="inlineStr">
        <is>
          <t>VC-09 · Media library</t>
        </is>
      </c>
      <c r="D76" s="11" t="inlineStr">
        <is>
          <t>Detail</t>
        </is>
      </c>
      <c r="E76" s="11" t="inlineStr">
        <is>
          <t>Where used and alt text</t>
        </is>
      </c>
      <c r="F76" s="11" t="inlineStr">
        <is>
          <t>Selecting a file shows its details and where it is used.</t>
        </is>
      </c>
      <c r="G76" s="11" t="inlineStr">
        <is>
          <t>Signed in as Home Orbit's owner (or super admin with Manage store on Home Orbit)</t>
        </is>
      </c>
      <c r="H76" s="11" t="inlineStr">
        <is>
          <t>A product photo</t>
        </is>
      </c>
      <c r="I76" s="11" t="inlineStr">
        <is>
          <t>1. Click a photo
2. Edit Alt text and Save in place
3. Reload
4. Verify the expected result.</t>
        </is>
      </c>
      <c r="J76" s="11" t="inlineStr">
        <is>
          <t>Preview, alt text, type and size, sizes made, used by products/categories; the new alt text stays after reload.</t>
        </is>
      </c>
      <c r="K76" s="11" t="inlineStr"/>
      <c r="L76" s="11" t="inlineStr">
        <is>
          <t>Not Run</t>
        </is>
      </c>
      <c r="M76" s="11" t="inlineStr">
        <is>
          <t>Medium</t>
        </is>
      </c>
      <c r="N76" s="11" t="inlineStr">
        <is>
          <t>Data persistence</t>
        </is>
      </c>
      <c r="O76" s="11" t="inlineStr"/>
      <c r="P76" s="11" t="inlineStr"/>
      <c r="Q76" s="11" t="inlineStr"/>
      <c r="R76" s="11" t="inlineStr"/>
      <c r="S76" s="11" t="inlineStr">
        <is>
          <t>Store owner</t>
        </is>
      </c>
      <c r="T76" s="11" t="inlineStr">
        <is>
          <t>No</t>
        </is>
      </c>
      <c r="U76" s="11" t="inlineStr">
        <is>
          <t>docs/qa/regression/vendor-cms/VC-09-media.md</t>
        </is>
      </c>
    </row>
    <row r="77">
      <c r="A77" s="11" t="inlineStr">
        <is>
          <t>VC-09-003</t>
        </is>
      </c>
      <c r="B77" s="11" t="inlineStr">
        <is>
          <t>Vendor CMS</t>
        </is>
      </c>
      <c r="C77" s="11" t="inlineStr">
        <is>
          <t>VC-09 · Media library</t>
        </is>
      </c>
      <c r="D77" s="11" t="inlineStr">
        <is>
          <t>Upload</t>
        </is>
      </c>
      <c r="E77" s="11" t="inlineStr">
        <is>
          <t>Alt text required</t>
        </is>
      </c>
      <c r="F77" s="11" t="inlineStr">
        <is>
          <t>An image cannot be saved without alt text.</t>
        </is>
      </c>
      <c r="G77" s="11" t="inlineStr">
        <is>
          <t>Signed in as Home Orbit's owner (or super admin with Manage store on Home Orbit)</t>
        </is>
      </c>
      <c r="H77" s="11" t="inlineStr">
        <is>
          <t>A JPG, no alt text</t>
        </is>
      </c>
      <c r="I77" s="11" t="inlineStr">
        <is>
          <t>1. Upload the image without alt text
2. Save
3. Verify the expected result.</t>
        </is>
      </c>
      <c r="J77" s="11" t="inlineStr">
        <is>
          <t>Refused; with alt text it saves and the storage meter goes up.</t>
        </is>
      </c>
      <c r="K77" s="11" t="inlineStr"/>
      <c r="L77" s="11" t="inlineStr">
        <is>
          <t>Not Run</t>
        </is>
      </c>
      <c r="M77" s="11" t="inlineStr">
        <is>
          <t>High</t>
        </is>
      </c>
      <c r="N77" s="11" t="inlineStr">
        <is>
          <t>Validation</t>
        </is>
      </c>
      <c r="O77" s="11" t="inlineStr"/>
      <c r="P77" s="11" t="inlineStr"/>
      <c r="Q77" s="11" t="inlineStr"/>
      <c r="R77" s="11" t="inlineStr"/>
      <c r="S77" s="11" t="inlineStr">
        <is>
          <t>Store owner</t>
        </is>
      </c>
      <c r="T77" s="11" t="inlineStr">
        <is>
          <t>No</t>
        </is>
      </c>
      <c r="U77" s="11" t="inlineStr">
        <is>
          <t>docs/qa/regression/vendor-cms/VC-09-media.md</t>
        </is>
      </c>
    </row>
    <row r="78">
      <c r="A78" s="11" t="inlineStr">
        <is>
          <t>VC-09-004</t>
        </is>
      </c>
      <c r="B78" s="11" t="inlineStr">
        <is>
          <t>Vendor CMS</t>
        </is>
      </c>
      <c r="C78" s="11" t="inlineStr">
        <is>
          <t>VC-09 · Media library</t>
        </is>
      </c>
      <c r="D78" s="11" t="inlineStr">
        <is>
          <t>Upload</t>
        </is>
      </c>
      <c r="E78" s="11" t="inlineStr">
        <is>
          <t>Unsupported file</t>
        </is>
      </c>
      <c r="F78" s="11" t="inlineStr">
        <is>
          <t>Files that are not images, PDFs or allowed types are refused.</t>
        </is>
      </c>
      <c r="G78" s="11" t="inlineStr">
        <is>
          <t>Signed in as Home Orbit's owner (or super admin with Manage store on Home Orbit)</t>
        </is>
      </c>
      <c r="H78" s="11" t="inlineStr">
        <is>
          <t>An .exe or .zip</t>
        </is>
      </c>
      <c r="I78" s="11" t="inlineStr">
        <is>
          <t>1. Try to upload it
2. Verify the expected result.</t>
        </is>
      </c>
      <c r="J78" s="11" t="inlineStr">
        <is>
          <t>Refused with the allowed types.</t>
        </is>
      </c>
      <c r="K78" s="11" t="inlineStr"/>
      <c r="L78" s="11" t="inlineStr">
        <is>
          <t>Not Run</t>
        </is>
      </c>
      <c r="M78" s="11" t="inlineStr">
        <is>
          <t>Medium</t>
        </is>
      </c>
      <c r="N78" s="11" t="inlineStr">
        <is>
          <t>Negative</t>
        </is>
      </c>
      <c r="O78" s="11" t="inlineStr"/>
      <c r="P78" s="11" t="inlineStr"/>
      <c r="Q78" s="11" t="inlineStr"/>
      <c r="R78" s="11" t="inlineStr"/>
      <c r="S78" s="11" t="inlineStr">
        <is>
          <t>Store owner</t>
        </is>
      </c>
      <c r="T78" s="11" t="inlineStr">
        <is>
          <t>No</t>
        </is>
      </c>
      <c r="U78" s="11" t="inlineStr">
        <is>
          <t>docs/qa/regression/vendor-cms/VC-09-media.md</t>
        </is>
      </c>
    </row>
    <row r="79">
      <c r="A79" s="11" t="inlineStr">
        <is>
          <t>VC-09-005</t>
        </is>
      </c>
      <c r="B79" s="11" t="inlineStr">
        <is>
          <t>Vendor CMS</t>
        </is>
      </c>
      <c r="C79" s="11" t="inlineStr">
        <is>
          <t>VC-09 · Media library</t>
        </is>
      </c>
      <c r="D79" s="11" t="inlineStr">
        <is>
          <t>Delete</t>
        </is>
      </c>
      <c r="E79" s="11" t="inlineStr">
        <is>
          <t>Delete a file in use</t>
        </is>
      </c>
      <c r="F79" s="11" t="inlineStr">
        <is>
          <t>Deleting warns when a file is used.</t>
        </is>
      </c>
      <c r="G79" s="11" t="inlineStr">
        <is>
          <t>Signed in as Home Orbit's owner (or super admin with Manage store on Home Orbit)</t>
        </is>
      </c>
      <c r="H79" s="11" t="inlineStr">
        <is>
          <t>A photo used by a product</t>
        </is>
      </c>
      <c r="I79" s="11" t="inlineStr">
        <is>
          <t>1. Select it
2. Press Delete
3. Verify the expected result.</t>
        </is>
      </c>
      <c r="J79" s="11" t="inlineStr">
        <is>
          <t>A warning lists where it is used before confirming.</t>
        </is>
      </c>
      <c r="K79" s="11" t="inlineStr"/>
      <c r="L79" s="11" t="inlineStr">
        <is>
          <t>Not Run</t>
        </is>
      </c>
      <c r="M79" s="11" t="inlineStr">
        <is>
          <t>Medium</t>
        </is>
      </c>
      <c r="N79" s="11" t="inlineStr">
        <is>
          <t>Negative</t>
        </is>
      </c>
      <c r="O79" s="11" t="inlineStr"/>
      <c r="P79" s="11" t="inlineStr"/>
      <c r="Q79" s="11" t="inlineStr"/>
      <c r="R79" s="11" t="inlineStr">
        <is>
          <t>Requires confirmation of whether deleting in-use files is blocked or only warned.</t>
        </is>
      </c>
      <c r="S79" s="11" t="inlineStr">
        <is>
          <t>Store owner</t>
        </is>
      </c>
      <c r="T79" s="11" t="inlineStr">
        <is>
          <t>No</t>
        </is>
      </c>
      <c r="U79" s="11" t="inlineStr">
        <is>
          <t>docs/qa/regression/vendor-cms/VC-09-media.md</t>
        </is>
      </c>
    </row>
    <row r="80">
      <c r="A80" s="11" t="inlineStr">
        <is>
          <t>VC-09-006</t>
        </is>
      </c>
      <c r="B80" s="11" t="inlineStr">
        <is>
          <t>Vendor CMS</t>
        </is>
      </c>
      <c r="C80" s="11" t="inlineStr">
        <is>
          <t>VC-09 · Media library</t>
        </is>
      </c>
      <c r="D80" s="11" t="inlineStr">
        <is>
          <t>Search</t>
        </is>
      </c>
      <c r="E80" s="11" t="inlineStr">
        <is>
          <t>Search media</t>
        </is>
      </c>
      <c r="F80" s="11" t="inlineStr">
        <is>
          <t>Search filters by name or alt text.</t>
        </is>
      </c>
      <c r="G80" s="11" t="inlineStr">
        <is>
          <t>Signed in as Home Orbit's owner (or super admin with Manage store on Home Orbit)</t>
        </is>
      </c>
      <c r="H80" s="11" t="inlineStr">
        <is>
          <t>"towel"</t>
        </is>
      </c>
      <c r="I80" s="11" t="inlineStr">
        <is>
          <t>1. Type towel
2. Verify the expected result.</t>
        </is>
      </c>
      <c r="J80" s="11" t="inlineStr">
        <is>
          <t>Only matching files remain.</t>
        </is>
      </c>
      <c r="K80" s="11" t="inlineStr"/>
      <c r="L80" s="11" t="inlineStr">
        <is>
          <t>Not Run</t>
        </is>
      </c>
      <c r="M80" s="11" t="inlineStr">
        <is>
          <t>Low</t>
        </is>
      </c>
      <c r="N80" s="11" t="inlineStr">
        <is>
          <t>Functional</t>
        </is>
      </c>
      <c r="O80" s="11" t="inlineStr"/>
      <c r="P80" s="11" t="inlineStr"/>
      <c r="Q80" s="11" t="inlineStr"/>
      <c r="R80" s="11" t="inlineStr"/>
      <c r="S80" s="11" t="inlineStr">
        <is>
          <t>Store owner</t>
        </is>
      </c>
      <c r="T80" s="11" t="inlineStr">
        <is>
          <t>No</t>
        </is>
      </c>
      <c r="U80" s="11" t="inlineStr">
        <is>
          <t>docs/qa/regression/vendor-cms/VC-09-media.md</t>
        </is>
      </c>
    </row>
    <row r="81">
      <c r="A81" s="11" t="inlineStr">
        <is>
          <t>VC-10-001</t>
        </is>
      </c>
      <c r="B81" s="11" t="inlineStr">
        <is>
          <t>Vendor CMS</t>
        </is>
      </c>
      <c r="C81" s="11" t="inlineStr">
        <is>
          <t>VC-10 · Orders and order detail</t>
        </is>
      </c>
      <c r="D81" s="11" t="inlineStr">
        <is>
          <t>List</t>
        </is>
      </c>
      <c r="E81" s="11" t="inlineStr">
        <is>
          <t>Tabs and columns</t>
        </is>
      </c>
      <c r="F81" s="11" t="inlineStr">
        <is>
          <t>Orders list shows tabs and separate order, payment and delivery state.</t>
        </is>
      </c>
      <c r="G81" s="11" t="inlineStr">
        <is>
          <t>Signed in as Home Orbit's owner (or super admin with Manage store on Home Orbit); store selling: `pnpm demo:selling home-orbit` run; an order from E2E-04</t>
        </is>
      </c>
      <c r="H81" s="11" t="inlineStr">
        <is>
          <t>—</t>
        </is>
      </c>
      <c r="I81" s="11" t="inlineStr">
        <is>
          <t>1. Open Sales → Orders
2. Verify the expected result.</t>
        </is>
      </c>
      <c r="J81" s="11" t="inlineStr">
        <is>
          <t>Tabs All, To pack, Packed, Shipped, Out for delivery, Delivered, Awaiting payment, Cancelled, Returns with counts; the new order shows "COD, to collect" and "Not shipped".</t>
        </is>
      </c>
      <c r="K81" s="11" t="inlineStr">
        <is>
          <t>Tabs All 23, To pack 4, Packed 4, Shipped 3, Out for delivery 0, Delivered 12, Awaiting payment 0, Cancelled 0, Returns 0; search, Placed, Payment and State filters; Mark packed, Shipped from CSV, Download invoices.</t>
        </is>
      </c>
      <c r="L81" s="11" t="inlineStr">
        <is>
          <t>Pass</t>
        </is>
      </c>
      <c r="M81" s="11" t="inlineStr">
        <is>
          <t>Critical</t>
        </is>
      </c>
      <c r="N81" s="11" t="inlineStr">
        <is>
          <t>UI/UX</t>
        </is>
      </c>
      <c r="O81" s="11" t="inlineStr">
        <is>
          <t>Claude (Claude in Chrome)</t>
        </is>
      </c>
      <c r="P81" s="11" t="inlineStr">
        <is>
          <t>2026-10-10</t>
        </is>
      </c>
      <c r="Q81" s="11" t="inlineStr"/>
      <c r="R81" s="11" t="inlineStr"/>
      <c r="S81" s="11" t="inlineStr">
        <is>
          <t>Store owner</t>
        </is>
      </c>
      <c r="T81" s="11" t="inlineStr">
        <is>
          <t>Yes</t>
        </is>
      </c>
      <c r="U81" s="11" t="inlineStr">
        <is>
          <t>docs/qa/regression/vendor-cms/VC-10-orders.md</t>
        </is>
      </c>
    </row>
    <row r="82">
      <c r="A82" s="11" t="inlineStr">
        <is>
          <t>VC-10-002</t>
        </is>
      </c>
      <c r="B82" s="11" t="inlineStr">
        <is>
          <t>Vendor CMS</t>
        </is>
      </c>
      <c r="C82" s="11" t="inlineStr">
        <is>
          <t>VC-10 · Orders and order detail</t>
        </is>
      </c>
      <c r="D82" s="11" t="inlineStr">
        <is>
          <t>List</t>
        </is>
      </c>
      <c r="E82" s="11" t="inlineStr">
        <is>
          <t>Search by number and phone</t>
        </is>
      </c>
      <c r="F82" s="11" t="inlineStr">
        <is>
          <t>Search finds orders by number and phone.</t>
        </is>
      </c>
      <c r="G82" s="11" t="inlineStr">
        <is>
          <t>An order exists</t>
        </is>
      </c>
      <c r="H82" s="11" t="inlineStr">
        <is>
          <t>Order number; phone 98765</t>
        </is>
      </c>
      <c r="I82" s="11" t="inlineStr">
        <is>
          <t>1. Search the order number
2. Search 98765
3. Verify the expected result.</t>
        </is>
      </c>
      <c r="J82" s="11" t="inlineStr">
        <is>
          <t>The order is found both ways.</t>
        </is>
      </c>
      <c r="K82" s="11" t="inlineStr"/>
      <c r="L82" s="11" t="inlineStr">
        <is>
          <t>Not Run</t>
        </is>
      </c>
      <c r="M82" s="11" t="inlineStr">
        <is>
          <t>High</t>
        </is>
      </c>
      <c r="N82" s="11" t="inlineStr">
        <is>
          <t>Functional</t>
        </is>
      </c>
      <c r="O82" s="11" t="inlineStr"/>
      <c r="P82" s="11" t="inlineStr"/>
      <c r="Q82" s="11" t="inlineStr"/>
      <c r="R82" s="11" t="inlineStr"/>
      <c r="S82" s="11" t="inlineStr">
        <is>
          <t>Store owner</t>
        </is>
      </c>
      <c r="T82" s="11" t="inlineStr">
        <is>
          <t>No</t>
        </is>
      </c>
      <c r="U82" s="11" t="inlineStr">
        <is>
          <t>docs/qa/regression/vendor-cms/VC-10-orders.md</t>
        </is>
      </c>
    </row>
    <row r="83">
      <c r="A83" s="11" t="inlineStr">
        <is>
          <t>VC-10-003</t>
        </is>
      </c>
      <c r="B83" s="11" t="inlineStr">
        <is>
          <t>Vendor CMS</t>
        </is>
      </c>
      <c r="C83" s="11" t="inlineStr">
        <is>
          <t>VC-10 · Orders and order detail</t>
        </is>
      </c>
      <c r="D83" s="11" t="inlineStr">
        <is>
          <t>List</t>
        </is>
      </c>
      <c r="E83" s="11" t="inlineStr">
        <is>
          <t>Filters</t>
        </is>
      </c>
      <c r="F83" s="11" t="inlineStr">
        <is>
          <t>Placed, payment and state filters narrow the list.</t>
        </is>
      </c>
      <c r="G83" s="11" t="inlineStr">
        <is>
          <t>Several orders</t>
        </is>
      </c>
      <c r="H83" s="11" t="inlineStr">
        <is>
          <t>Payment = COD</t>
        </is>
      </c>
      <c r="I83" s="11" t="inlineStr">
        <is>
          <t>1. Pick each filter
2. Verify the expected result.</t>
        </is>
      </c>
      <c r="J83" s="11" t="inlineStr">
        <is>
          <t>Rows and counts follow the filters; clearing restores the list.</t>
        </is>
      </c>
      <c r="K83" s="11" t="inlineStr"/>
      <c r="L83" s="11" t="inlineStr">
        <is>
          <t>Not Run</t>
        </is>
      </c>
      <c r="M83" s="11" t="inlineStr">
        <is>
          <t>Medium</t>
        </is>
      </c>
      <c r="N83" s="11" t="inlineStr">
        <is>
          <t>Functional</t>
        </is>
      </c>
      <c r="O83" s="11" t="inlineStr"/>
      <c r="P83" s="11" t="inlineStr"/>
      <c r="Q83" s="11" t="inlineStr"/>
      <c r="R83" s="11" t="inlineStr"/>
      <c r="S83" s="11" t="inlineStr">
        <is>
          <t>Store owner</t>
        </is>
      </c>
      <c r="T83" s="11" t="inlineStr">
        <is>
          <t>No</t>
        </is>
      </c>
      <c r="U83" s="11" t="inlineStr">
        <is>
          <t>docs/qa/regression/vendor-cms/VC-10-orders.md</t>
        </is>
      </c>
    </row>
    <row r="84">
      <c r="A84" s="11" t="inlineStr">
        <is>
          <t>VC-10-004</t>
        </is>
      </c>
      <c r="B84" s="11" t="inlineStr">
        <is>
          <t>Vendor CMS</t>
        </is>
      </c>
      <c r="C84" s="11" t="inlineStr">
        <is>
          <t>VC-10 · Orders and order detail</t>
        </is>
      </c>
      <c r="D84" s="11" t="inlineStr">
        <is>
          <t>Detail</t>
        </is>
      </c>
      <c r="E84" s="11" t="inlineStr">
        <is>
          <t>GST split by place of supply</t>
        </is>
      </c>
      <c r="F84" s="11" t="inlineStr">
        <is>
          <t>An order within the store's state shows CGST and SGST.</t>
        </is>
      </c>
      <c r="G84" s="11" t="inlineStr">
        <is>
          <t>Order to pincode 411045 (Maharashtra) from a Maharashtra GSTIN</t>
        </is>
      </c>
      <c r="H84" s="11" t="inlineStr">
        <is>
          <t>—</t>
        </is>
      </c>
      <c r="I84" s="11" t="inlineStr">
        <is>
          <t>1. Open the order
2. Verify the expected result.</t>
        </is>
      </c>
      <c r="J84" s="11" t="inlineStr">
        <is>
          <t>Items with CGST and SGST, the place of supply line, the customer ("first order"), address and payment.</t>
        </is>
      </c>
      <c r="K84" s="11" t="inlineStr"/>
      <c r="L84" s="11" t="inlineStr">
        <is>
          <t>Not Run</t>
        </is>
      </c>
      <c r="M84" s="11" t="inlineStr">
        <is>
          <t>High</t>
        </is>
      </c>
      <c r="N84" s="11" t="inlineStr">
        <is>
          <t>Functional</t>
        </is>
      </c>
      <c r="O84" s="11" t="inlineStr"/>
      <c r="P84" s="11" t="inlineStr"/>
      <c r="Q84" s="11" t="inlineStr"/>
      <c r="R84" s="11" t="inlineStr"/>
      <c r="S84" s="11" t="inlineStr">
        <is>
          <t>Store owner</t>
        </is>
      </c>
      <c r="T84" s="11" t="inlineStr">
        <is>
          <t>No</t>
        </is>
      </c>
      <c r="U84" s="11" t="inlineStr">
        <is>
          <t>docs/qa/regression/vendor-cms/VC-10-orders.md</t>
        </is>
      </c>
    </row>
    <row r="85">
      <c r="A85" s="11" t="inlineStr">
        <is>
          <t>VC-10-005</t>
        </is>
      </c>
      <c r="B85" s="11" t="inlineStr">
        <is>
          <t>Vendor CMS</t>
        </is>
      </c>
      <c r="C85" s="11" t="inlineStr">
        <is>
          <t>VC-10 · Orders and order detail</t>
        </is>
      </c>
      <c r="D85" s="11" t="inlineStr">
        <is>
          <t>Fulfilment</t>
        </is>
      </c>
      <c r="E85" s="11" t="inlineStr">
        <is>
          <t>Mark as packed creates the invoice</t>
        </is>
      </c>
      <c r="F85" s="11" t="inlineStr">
        <is>
          <t>Packing issues the GST invoice.</t>
        </is>
      </c>
      <c r="G85" s="11" t="inlineStr">
        <is>
          <t>A confirmed order</t>
        </is>
      </c>
      <c r="H85" s="11" t="inlineStr">
        <is>
          <t>—</t>
        </is>
      </c>
      <c r="I85" s="11" t="inlineStr">
        <is>
          <t>1. Press Mark as packed and confirm
2. Read Invoice
3. Press Download invoice
4. Verify the expected result.</t>
        </is>
      </c>
      <c r="J85" s="11" t="inlineStr">
        <is>
          <t>The parcel shows Packed; Invoice lists INV/26-27/00001 (next number); the GST invoice opens.</t>
        </is>
      </c>
      <c r="K85" s="11" t="inlineStr"/>
      <c r="L85" s="11" t="inlineStr">
        <is>
          <t>Not Run</t>
        </is>
      </c>
      <c r="M85" s="11" t="inlineStr">
        <is>
          <t>Critical</t>
        </is>
      </c>
      <c r="N85" s="11" t="inlineStr">
        <is>
          <t>Functional</t>
        </is>
      </c>
      <c r="O85" s="11" t="inlineStr"/>
      <c r="P85" s="11" t="inlineStr"/>
      <c r="Q85" s="11" t="inlineStr"/>
      <c r="R85" s="11" t="inlineStr"/>
      <c r="S85" s="11" t="inlineStr">
        <is>
          <t>Store owner</t>
        </is>
      </c>
      <c r="T85" s="11" t="inlineStr">
        <is>
          <t>Yes</t>
        </is>
      </c>
      <c r="U85" s="11" t="inlineStr">
        <is>
          <t>docs/qa/regression/vendor-cms/VC-10-orders.md</t>
        </is>
      </c>
    </row>
    <row r="86">
      <c r="A86" s="11" t="inlineStr">
        <is>
          <t>VC-10-006</t>
        </is>
      </c>
      <c r="B86" s="11" t="inlineStr">
        <is>
          <t>Vendor CMS</t>
        </is>
      </c>
      <c r="C86" s="11" t="inlineStr">
        <is>
          <t>VC-10 · Orders and order detail</t>
        </is>
      </c>
      <c r="D86" s="11" t="inlineStr">
        <is>
          <t>Fulfilment</t>
        </is>
      </c>
      <c r="E86" s="11" t="inlineStr">
        <is>
          <t>Ship, out for delivery, delivered</t>
        </is>
      </c>
      <c r="F86" s="11" t="inlineStr">
        <is>
          <t>The parcel moves through shipping to delivered.</t>
        </is>
      </c>
      <c r="G86" s="11" t="inlineStr">
        <is>
          <t>A packed order</t>
        </is>
      </c>
      <c r="H86" s="11" t="inlineStr">
        <is>
          <t>Tracking number 12345, courier Delhivery</t>
        </is>
      </c>
      <c r="I86" s="11" t="inlineStr">
        <is>
          <t>1. Type the tracking number
2. Press Save and tell the shopper it shipped
3. Press Out for delivery
4. Press Delivered
5. Verify the expected result.</t>
        </is>
      </c>
      <c r="J86" s="11" t="inlineStr">
        <is>
          <t>The order reads Completed, Paid, Delivered; the timeline ends with "₹… collected in cash on delivery"; messages are queued for each step.</t>
        </is>
      </c>
      <c r="K86" s="11" t="inlineStr"/>
      <c r="L86" s="11" t="inlineStr">
        <is>
          <t>Not Run</t>
        </is>
      </c>
      <c r="M86" s="11" t="inlineStr">
        <is>
          <t>Critical</t>
        </is>
      </c>
      <c r="N86" s="11" t="inlineStr">
        <is>
          <t>Functional</t>
        </is>
      </c>
      <c r="O86" s="11" t="inlineStr"/>
      <c r="P86" s="11" t="inlineStr"/>
      <c r="Q86" s="11" t="inlineStr"/>
      <c r="R86" s="11" t="inlineStr">
        <is>
          <t>Also: Integration</t>
        </is>
      </c>
      <c r="S86" s="11" t="inlineStr">
        <is>
          <t>Store owner</t>
        </is>
      </c>
      <c r="T86" s="11" t="inlineStr">
        <is>
          <t>Yes</t>
        </is>
      </c>
      <c r="U86" s="11" t="inlineStr">
        <is>
          <t>docs/qa/regression/vendor-cms/VC-10-orders.md</t>
        </is>
      </c>
    </row>
    <row r="87">
      <c r="A87" s="11" t="inlineStr">
        <is>
          <t>VC-10-007</t>
        </is>
      </c>
      <c r="B87" s="11" t="inlineStr">
        <is>
          <t>Vendor CMS</t>
        </is>
      </c>
      <c r="C87" s="11" t="inlineStr">
        <is>
          <t>VC-10 · Orders and order detail</t>
        </is>
      </c>
      <c r="D87" s="11" t="inlineStr">
        <is>
          <t>Fulfilment</t>
        </is>
      </c>
      <c r="E87" s="11" t="inlineStr">
        <is>
          <t>Steps cannot be skipped backwards</t>
        </is>
      </c>
      <c r="F87" s="11" t="inlineStr">
        <is>
          <t>A delivered parcel cannot go back to packed.</t>
        </is>
      </c>
      <c r="G87" s="11" t="inlineStr">
        <is>
          <t>A delivered order</t>
        </is>
      </c>
      <c r="H87" s="11" t="inlineStr">
        <is>
          <t>—</t>
        </is>
      </c>
      <c r="I87" s="11" t="inlineStr">
        <is>
          <t>1. Look for actions that move it back
2. Verify the expected result.</t>
        </is>
      </c>
      <c r="J87" s="11" t="inlineStr">
        <is>
          <t>No backwards actions; the state stays Delivered.</t>
        </is>
      </c>
      <c r="K87" s="11" t="inlineStr"/>
      <c r="L87" s="11" t="inlineStr">
        <is>
          <t>Not Run</t>
        </is>
      </c>
      <c r="M87" s="11" t="inlineStr">
        <is>
          <t>Medium</t>
        </is>
      </c>
      <c r="N87" s="11" t="inlineStr">
        <is>
          <t>Negative</t>
        </is>
      </c>
      <c r="O87" s="11" t="inlineStr"/>
      <c r="P87" s="11" t="inlineStr"/>
      <c r="Q87" s="11" t="inlineStr"/>
      <c r="R87" s="11" t="inlineStr"/>
      <c r="S87" s="11" t="inlineStr">
        <is>
          <t>Store owner</t>
        </is>
      </c>
      <c r="T87" s="11" t="inlineStr">
        <is>
          <t>No</t>
        </is>
      </c>
      <c r="U87" s="11" t="inlineStr">
        <is>
          <t>docs/qa/regression/vendor-cms/VC-10-orders.md</t>
        </is>
      </c>
    </row>
    <row r="88">
      <c r="A88" s="11" t="inlineStr">
        <is>
          <t>VC-10-008</t>
        </is>
      </c>
      <c r="B88" s="11" t="inlineStr">
        <is>
          <t>Vendor CMS</t>
        </is>
      </c>
      <c r="C88" s="11" t="inlineStr">
        <is>
          <t>VC-10 · Orders and order detail</t>
        </is>
      </c>
      <c r="D88" s="11" t="inlineStr">
        <is>
          <t>Refund</t>
        </is>
      </c>
      <c r="E88" s="11" t="inlineStr">
        <is>
          <t>Partial refund</t>
        </is>
      </c>
      <c r="F88" s="11" t="inlineStr">
        <is>
          <t>A partial refund records a credit note.</t>
        </is>
      </c>
      <c r="G88" s="11" t="inlineStr">
        <is>
          <t>A delivered order</t>
        </is>
      </c>
      <c r="H88" s="11" t="inlineStr">
        <is>
          <t>₹100, reason, UPI reference</t>
        </is>
      </c>
      <c r="I88" s="11" t="inlineStr">
        <is>
          <t>1. Press Refund
2. Enter ₹100, a reason and the reference
3. Confirm
4. Verify the expected result.</t>
        </is>
      </c>
      <c r="J88" s="11" t="inlineStr">
        <is>
          <t>Payment shows Partly refunded; the invoice card lists credit note CN/26-27/00001.</t>
        </is>
      </c>
      <c r="K88" s="11" t="inlineStr"/>
      <c r="L88" s="11" t="inlineStr">
        <is>
          <t>Not Run</t>
        </is>
      </c>
      <c r="M88" s="11" t="inlineStr">
        <is>
          <t>High</t>
        </is>
      </c>
      <c r="N88" s="11" t="inlineStr">
        <is>
          <t>Functional</t>
        </is>
      </c>
      <c r="O88" s="11" t="inlineStr"/>
      <c r="P88" s="11" t="inlineStr"/>
      <c r="Q88" s="11" t="inlineStr"/>
      <c r="R88" s="11" t="inlineStr"/>
      <c r="S88" s="11" t="inlineStr">
        <is>
          <t>Store owner</t>
        </is>
      </c>
      <c r="T88" s="11" t="inlineStr">
        <is>
          <t>No</t>
        </is>
      </c>
      <c r="U88" s="11" t="inlineStr">
        <is>
          <t>docs/qa/regression/vendor-cms/VC-10-orders.md</t>
        </is>
      </c>
    </row>
    <row r="89">
      <c r="A89" s="11" t="inlineStr">
        <is>
          <t>VC-10-009</t>
        </is>
      </c>
      <c r="B89" s="11" t="inlineStr">
        <is>
          <t>Vendor CMS</t>
        </is>
      </c>
      <c r="C89" s="11" t="inlineStr">
        <is>
          <t>VC-10 · Orders and order detail</t>
        </is>
      </c>
      <c r="D89" s="11" t="inlineStr">
        <is>
          <t>Refund</t>
        </is>
      </c>
      <c r="E89" s="11" t="inlineStr">
        <is>
          <t>Refund over the amount</t>
        </is>
      </c>
      <c r="F89" s="11" t="inlineStr">
        <is>
          <t>A refund larger than the amount paid is refused.</t>
        </is>
      </c>
      <c r="G89" s="11" t="inlineStr">
        <is>
          <t>A delivered order of ₹X</t>
        </is>
      </c>
      <c r="H89" s="11" t="inlineStr">
        <is>
          <t>Refund ₹X + 1</t>
        </is>
      </c>
      <c r="I89" s="11" t="inlineStr">
        <is>
          <t>1. Try to refund more than paid
2. Verify the expected result.</t>
        </is>
      </c>
      <c r="J89" s="11" t="inlineStr">
        <is>
          <t>Refused with a message.</t>
        </is>
      </c>
      <c r="K89" s="11" t="inlineStr"/>
      <c r="L89" s="11" t="inlineStr">
        <is>
          <t>Not Run</t>
        </is>
      </c>
      <c r="M89" s="11" t="inlineStr">
        <is>
          <t>High</t>
        </is>
      </c>
      <c r="N89" s="11" t="inlineStr">
        <is>
          <t>Boundary</t>
        </is>
      </c>
      <c r="O89" s="11" t="inlineStr"/>
      <c r="P89" s="11" t="inlineStr"/>
      <c r="Q89" s="11" t="inlineStr"/>
      <c r="R89" s="11" t="inlineStr">
        <is>
          <t>Also: Negative</t>
        </is>
      </c>
      <c r="S89" s="11" t="inlineStr">
        <is>
          <t>Store owner</t>
        </is>
      </c>
      <c r="T89" s="11" t="inlineStr">
        <is>
          <t>No</t>
        </is>
      </c>
      <c r="U89" s="11" t="inlineStr">
        <is>
          <t>docs/qa/regression/vendor-cms/VC-10-orders.md</t>
        </is>
      </c>
    </row>
    <row r="90">
      <c r="A90" s="11" t="inlineStr">
        <is>
          <t>VC-10-010</t>
        </is>
      </c>
      <c r="B90" s="11" t="inlineStr">
        <is>
          <t>Vendor CMS</t>
        </is>
      </c>
      <c r="C90" s="11" t="inlineStr">
        <is>
          <t>VC-10 · Orders and order detail</t>
        </is>
      </c>
      <c r="D90" s="11" t="inlineStr">
        <is>
          <t>Cancel</t>
        </is>
      </c>
      <c r="E90" s="11" t="inlineStr">
        <is>
          <t>Cancel order</t>
        </is>
      </c>
      <c r="F90" s="11" t="inlineStr">
        <is>
          <t>Cancelling returns stock and needs a reason.</t>
        </is>
      </c>
      <c r="G90" s="11" t="inlineStr">
        <is>
          <t>A new COD order</t>
        </is>
      </c>
      <c r="H90" s="11" t="inlineStr">
        <is>
          <t>Reason "Customer asked"</t>
        </is>
      </c>
      <c r="I90" s="11" t="inlineStr">
        <is>
          <t>1. Press Cancel order
2. Try without a reason, then with one
3. Verify the expected result.</t>
        </is>
      </c>
      <c r="J90" s="11" t="inlineStr">
        <is>
          <t>Without a reason it waits; with one the order reads Cancelled and stock goes back.</t>
        </is>
      </c>
      <c r="K90" s="11" t="inlineStr"/>
      <c r="L90" s="11" t="inlineStr">
        <is>
          <t>Not Run</t>
        </is>
      </c>
      <c r="M90" s="11" t="inlineStr">
        <is>
          <t>High</t>
        </is>
      </c>
      <c r="N90" s="11" t="inlineStr">
        <is>
          <t>Functional</t>
        </is>
      </c>
      <c r="O90" s="11" t="inlineStr"/>
      <c r="P90" s="11" t="inlineStr"/>
      <c r="Q90" s="11" t="inlineStr"/>
      <c r="R90" s="11" t="inlineStr">
        <is>
          <t>Also: Validation</t>
        </is>
      </c>
      <c r="S90" s="11" t="inlineStr">
        <is>
          <t>Store owner</t>
        </is>
      </c>
      <c r="T90" s="11" t="inlineStr">
        <is>
          <t>No</t>
        </is>
      </c>
      <c r="U90" s="11" t="inlineStr">
        <is>
          <t>docs/qa/regression/vendor-cms/VC-10-orders.md</t>
        </is>
      </c>
    </row>
    <row r="91">
      <c r="A91" s="11" t="inlineStr">
        <is>
          <t>VC-10-011</t>
        </is>
      </c>
      <c r="B91" s="11" t="inlineStr">
        <is>
          <t>Vendor CMS</t>
        </is>
      </c>
      <c r="C91" s="11" t="inlineStr">
        <is>
          <t>VC-10 · Orders and order detail</t>
        </is>
      </c>
      <c r="D91" s="11" t="inlineStr">
        <is>
          <t>Bulk</t>
        </is>
      </c>
      <c r="E91" s="11" t="inlineStr">
        <is>
          <t>Download invoices and shipped from CSV</t>
        </is>
      </c>
      <c r="F91" s="11" t="inlineStr">
        <is>
          <t>Bulk invoice download and CSV shipping.</t>
        </is>
      </c>
      <c r="G91" s="11" t="inlineStr">
        <is>
          <t>Two invoiced orders</t>
        </is>
      </c>
      <c r="H91" s="11" t="inlineStr">
        <is>
          <t>CSV line "HOM-10003, Delhivery, 12345"</t>
        </is>
      </c>
      <c r="I91" s="11" t="inlineStr">
        <is>
          <t>1. Tick two orders and Download invoices
2. Use Shipped from CSV with the line
3. Press Export CSV
4. Verify the expected result.</t>
        </is>
      </c>
      <c r="J91" s="11" t="inlineStr">
        <is>
          <t>Invoices print for invoiced orders only; the CSV marks the order shipped with courier and tracking; Export CSV downloads the list.</t>
        </is>
      </c>
      <c r="K91" s="11" t="inlineStr"/>
      <c r="L91" s="11" t="inlineStr">
        <is>
          <t>Not Run</t>
        </is>
      </c>
      <c r="M91" s="11" t="inlineStr">
        <is>
          <t>Medium</t>
        </is>
      </c>
      <c r="N91" s="11" t="inlineStr">
        <is>
          <t>Functional</t>
        </is>
      </c>
      <c r="O91" s="11" t="inlineStr"/>
      <c r="P91" s="11" t="inlineStr"/>
      <c r="Q91" s="11" t="inlineStr"/>
      <c r="R91" s="11" t="inlineStr"/>
      <c r="S91" s="11" t="inlineStr">
        <is>
          <t>Store owner</t>
        </is>
      </c>
      <c r="T91" s="11" t="inlineStr">
        <is>
          <t>No</t>
        </is>
      </c>
      <c r="U91" s="11" t="inlineStr">
        <is>
          <t>docs/qa/regression/vendor-cms/VC-10-orders.md</t>
        </is>
      </c>
    </row>
    <row r="92">
      <c r="A92" s="11" t="inlineStr">
        <is>
          <t>VC-10-012</t>
        </is>
      </c>
      <c r="B92" s="11" t="inlineStr">
        <is>
          <t>Vendor CMS</t>
        </is>
      </c>
      <c r="C92" s="11" t="inlineStr">
        <is>
          <t>VC-10 · Orders and order detail</t>
        </is>
      </c>
      <c r="D92" s="11" t="inlineStr">
        <is>
          <t>Permissions</t>
        </is>
      </c>
      <c r="E92" s="11" t="inlineStr">
        <is>
          <t>Catalog editor has no orders</t>
        </is>
      </c>
      <c r="F92" s="11" t="inlineStr">
        <is>
          <t>Orders are hidden from catalog editors; support sees no actions.</t>
        </is>
      </c>
      <c r="G92" s="11" t="inlineStr">
        <is>
          <t>Signed in as Catalog editor; then as store Support</t>
        </is>
      </c>
      <c r="H92" s="11" t="inlineStr">
        <is>
          <t>—</t>
        </is>
      </c>
      <c r="I92" s="11" t="inlineStr">
        <is>
          <t>1. Look for Orders
2. Open http://localhost:3000/admin/collections/orders
3. Verify the expected result.</t>
        </is>
      </c>
      <c r="J92" s="11" t="inlineStr">
        <is>
          <t>Catalog editor: not in the menu and refused. Support: list visible without action buttons.</t>
        </is>
      </c>
      <c r="K92" s="11" t="inlineStr"/>
      <c r="L92" s="11" t="inlineStr">
        <is>
          <t>Not Run</t>
        </is>
      </c>
      <c r="M92" s="11" t="inlineStr">
        <is>
          <t>High</t>
        </is>
      </c>
      <c r="N92" s="11" t="inlineStr">
        <is>
          <t>Security/Permissions</t>
        </is>
      </c>
      <c r="O92" s="11" t="inlineStr"/>
      <c r="P92" s="11" t="inlineStr"/>
      <c r="Q92" s="11" t="inlineStr"/>
      <c r="R92" s="11" t="inlineStr"/>
      <c r="S92" s="11" t="inlineStr">
        <is>
          <t>Catalog editor, Store support</t>
        </is>
      </c>
      <c r="T92" s="11" t="inlineStr">
        <is>
          <t>No</t>
        </is>
      </c>
      <c r="U92" s="11" t="inlineStr">
        <is>
          <t>docs/qa/regression/vendor-cms/VC-10-orders.md</t>
        </is>
      </c>
    </row>
    <row r="93">
      <c r="A93" s="11" t="inlineStr">
        <is>
          <t>VC-11-001</t>
        </is>
      </c>
      <c r="B93" s="11" t="inlineStr">
        <is>
          <t>Vendor CMS</t>
        </is>
      </c>
      <c r="C93" s="11" t="inlineStr">
        <is>
          <t>VC-11 · Returns</t>
        </is>
      </c>
      <c r="D93" s="11" t="inlineStr">
        <is>
          <t>Returns</t>
        </is>
      </c>
      <c r="E93" s="11" t="inlineStr">
        <is>
          <t>Return appears in the tab</t>
        </is>
      </c>
      <c r="F93" s="11" t="inlineStr">
        <is>
          <t>A shopper's return request lists under Returns.</t>
        </is>
      </c>
      <c r="G93" s="11" t="inlineStr">
        <is>
          <t>A delivered order with a return requested (E2E-14)</t>
        </is>
      </c>
      <c r="H93" s="11" t="inlineStr">
        <is>
          <t>—</t>
        </is>
      </c>
      <c r="I93" s="11" t="inlineStr">
        <is>
          <t>1. Open Orders → Returns tab
2. Open the order
3. Verify the expected result.</t>
        </is>
      </c>
      <c r="J93" s="11" t="inlineStr">
        <is>
          <t>The order is listed; the Returns card shows items, reason, note and photo.</t>
        </is>
      </c>
      <c r="K93" s="11" t="inlineStr"/>
      <c r="L93" s="11" t="inlineStr">
        <is>
          <t>Not Run</t>
        </is>
      </c>
      <c r="M93" s="11" t="inlineStr">
        <is>
          <t>High</t>
        </is>
      </c>
      <c r="N93" s="11" t="inlineStr">
        <is>
          <t>Integration</t>
        </is>
      </c>
      <c r="O93" s="11" t="inlineStr"/>
      <c r="P93" s="11" t="inlineStr"/>
      <c r="Q93" s="11" t="inlineStr"/>
      <c r="R93" s="11" t="inlineStr"/>
      <c r="S93" s="11" t="inlineStr">
        <is>
          <t>Store owner</t>
        </is>
      </c>
      <c r="T93" s="11" t="inlineStr">
        <is>
          <t>No</t>
        </is>
      </c>
      <c r="U93" s="11" t="inlineStr">
        <is>
          <t>docs/qa/regression/vendor-cms/VC-11-returns.md</t>
        </is>
      </c>
    </row>
    <row r="94">
      <c r="A94" s="11" t="inlineStr">
        <is>
          <t>VC-11-002</t>
        </is>
      </c>
      <c r="B94" s="11" t="inlineStr">
        <is>
          <t>Vendor CMS</t>
        </is>
      </c>
      <c r="C94" s="11" t="inlineStr">
        <is>
          <t>VC-11 · Returns</t>
        </is>
      </c>
      <c r="D94" s="11" t="inlineStr">
        <is>
          <t>Returns</t>
        </is>
      </c>
      <c r="E94" s="11" t="inlineStr">
        <is>
          <t>Approve with pickup note</t>
        </is>
      </c>
      <c r="F94" s="11" t="inlineStr">
        <is>
          <t>Approving shows the pickup note to the shopper.</t>
        </is>
      </c>
      <c r="G94" s="11" t="inlineStr">
        <is>
          <t>A requested return</t>
        </is>
      </c>
      <c r="H94" s="11" t="inlineStr">
        <is>
          <t>Pickup note "Courier will collect on Monday"</t>
        </is>
      </c>
      <c r="I94" s="11" t="inlineStr">
        <is>
          <t>1. Press Approve with the note
2. Verify the expected result.</t>
        </is>
      </c>
      <c r="J94" s="11" t="inlineStr">
        <is>
          <t>Status Approved; the shopper's order page shows the note; a "Return approved" email is queued.</t>
        </is>
      </c>
      <c r="K94" s="11" t="inlineStr"/>
      <c r="L94" s="11" t="inlineStr">
        <is>
          <t>Not Run</t>
        </is>
      </c>
      <c r="M94" s="11" t="inlineStr">
        <is>
          <t>High</t>
        </is>
      </c>
      <c r="N94" s="11" t="inlineStr">
        <is>
          <t>Functional</t>
        </is>
      </c>
      <c r="O94" s="11" t="inlineStr"/>
      <c r="P94" s="11" t="inlineStr"/>
      <c r="Q94" s="11" t="inlineStr"/>
      <c r="R94" s="11" t="inlineStr">
        <is>
          <t>Also: Integration</t>
        </is>
      </c>
      <c r="S94" s="11" t="inlineStr">
        <is>
          <t>Store owner</t>
        </is>
      </c>
      <c r="T94" s="11" t="inlineStr">
        <is>
          <t>No</t>
        </is>
      </c>
      <c r="U94" s="11" t="inlineStr">
        <is>
          <t>docs/qa/regression/vendor-cms/VC-11-returns.md</t>
        </is>
      </c>
    </row>
    <row r="95">
      <c r="A95" s="11" t="inlineStr">
        <is>
          <t>VC-11-003</t>
        </is>
      </c>
      <c r="B95" s="11" t="inlineStr">
        <is>
          <t>Vendor CMS</t>
        </is>
      </c>
      <c r="C95" s="11" t="inlineStr">
        <is>
          <t>VC-11 · Returns</t>
        </is>
      </c>
      <c r="D95" s="11" t="inlineStr">
        <is>
          <t>Returns</t>
        </is>
      </c>
      <c r="E95" s="11" t="inlineStr">
        <is>
          <t>Receive and refund</t>
        </is>
      </c>
      <c r="F95" s="11" t="inlineStr">
        <is>
          <t>Receiving then refunding completes the return.</t>
        </is>
      </c>
      <c r="G95" s="11" t="inlineStr">
        <is>
          <t>An approved return</t>
        </is>
      </c>
      <c r="H95" s="11" t="inlineStr">
        <is>
          <t>Refund the item amount</t>
        </is>
      </c>
      <c r="I95" s="11" t="inlineStr">
        <is>
          <t>1. Press Mark received
2. Press Refund with the amount
3. Verify the expected result.</t>
        </is>
      </c>
      <c r="J95" s="11" t="inlineStr">
        <is>
          <t>The return reads Refunded; a credit note is added.</t>
        </is>
      </c>
      <c r="K95" s="11" t="inlineStr"/>
      <c r="L95" s="11" t="inlineStr">
        <is>
          <t>Not Run</t>
        </is>
      </c>
      <c r="M95" s="11" t="inlineStr">
        <is>
          <t>High</t>
        </is>
      </c>
      <c r="N95" s="11" t="inlineStr">
        <is>
          <t>Functional</t>
        </is>
      </c>
      <c r="O95" s="11" t="inlineStr"/>
      <c r="P95" s="11" t="inlineStr"/>
      <c r="Q95" s="11" t="inlineStr"/>
      <c r="R95" s="11" t="inlineStr"/>
      <c r="S95" s="11" t="inlineStr">
        <is>
          <t>Store owner</t>
        </is>
      </c>
      <c r="T95" s="11" t="inlineStr">
        <is>
          <t>No</t>
        </is>
      </c>
      <c r="U95" s="11" t="inlineStr">
        <is>
          <t>docs/qa/regression/vendor-cms/VC-11-returns.md</t>
        </is>
      </c>
    </row>
    <row r="96">
      <c r="A96" s="11" t="inlineStr">
        <is>
          <t>VC-11-004</t>
        </is>
      </c>
      <c r="B96" s="11" t="inlineStr">
        <is>
          <t>Vendor CMS</t>
        </is>
      </c>
      <c r="C96" s="11" t="inlineStr">
        <is>
          <t>VC-11 · Returns</t>
        </is>
      </c>
      <c r="D96" s="11" t="inlineStr">
        <is>
          <t>Returns</t>
        </is>
      </c>
      <c r="E96" s="11" t="inlineStr">
        <is>
          <t>Reject needs a reason</t>
        </is>
      </c>
      <c r="F96" s="11" t="inlineStr">
        <is>
          <t>Rejecting needs a reason shown to the shopper.</t>
        </is>
      </c>
      <c r="G96" s="11" t="inlineStr">
        <is>
          <t>A requested return</t>
        </is>
      </c>
      <c r="H96" s="11" t="inlineStr">
        <is>
          <t>Reason "Item used"</t>
        </is>
      </c>
      <c r="I96" s="11" t="inlineStr">
        <is>
          <t>1. Press Reject without a reason
2. Then with the reason
3. Verify the expected result.</t>
        </is>
      </c>
      <c r="J96" s="11" t="inlineStr">
        <is>
          <t>Without a reason it is refused; with it the shopper sees why.</t>
        </is>
      </c>
      <c r="K96" s="11" t="inlineStr"/>
      <c r="L96" s="11" t="inlineStr">
        <is>
          <t>Not Run</t>
        </is>
      </c>
      <c r="M96" s="11" t="inlineStr">
        <is>
          <t>Medium</t>
        </is>
      </c>
      <c r="N96" s="11" t="inlineStr">
        <is>
          <t>Validation</t>
        </is>
      </c>
      <c r="O96" s="11" t="inlineStr"/>
      <c r="P96" s="11" t="inlineStr"/>
      <c r="Q96" s="11" t="inlineStr"/>
      <c r="R96" s="11" t="inlineStr"/>
      <c r="S96" s="11" t="inlineStr">
        <is>
          <t>Store owner</t>
        </is>
      </c>
      <c r="T96" s="11" t="inlineStr">
        <is>
          <t>No</t>
        </is>
      </c>
      <c r="U96" s="11" t="inlineStr">
        <is>
          <t>docs/qa/regression/vendor-cms/VC-11-returns.md</t>
        </is>
      </c>
    </row>
    <row r="97">
      <c r="A97" s="11" t="inlineStr">
        <is>
          <t>VC-12-001</t>
        </is>
      </c>
      <c r="B97" s="11" t="inlineStr">
        <is>
          <t>Vendor CMS</t>
        </is>
      </c>
      <c r="C97" s="11" t="inlineStr">
        <is>
          <t>VC-12 · Customers and privacy requests</t>
        </is>
      </c>
      <c r="D97" s="11" t="inlineStr">
        <is>
          <t>List</t>
        </is>
      </c>
      <c r="E97" s="11" t="inlineStr">
        <is>
          <t>Customer list</t>
        </is>
      </c>
      <c r="F97" s="11" t="inlineStr">
        <is>
          <t>Customers lists shopper accounts with masked phone.</t>
        </is>
      </c>
      <c r="G97" s="11" t="inlineStr">
        <is>
          <t>Signed in as Home Orbit's owner (or super admin with Manage store on Home Orbit); store selling: `pnpm demo:selling home-orbit` run; a shopper account</t>
        </is>
      </c>
      <c r="H97" s="11" t="inlineStr">
        <is>
          <t>—</t>
        </is>
      </c>
      <c r="I97" s="11" t="inlineStr">
        <is>
          <t>1. Open Sales → Customers
2. Verify the expected result.</t>
        </is>
      </c>
      <c r="J97" s="11" t="inlineStr">
        <is>
          <t>Rows with name, email, masked phone, orders link, spent, last order, roles, offers and joined date.</t>
        </is>
      </c>
      <c r="K97" s="11" t="inlineStr"/>
      <c r="L97" s="11" t="inlineStr">
        <is>
          <t>Not Run</t>
        </is>
      </c>
      <c r="M97" s="11" t="inlineStr">
        <is>
          <t>High</t>
        </is>
      </c>
      <c r="N97" s="11" t="inlineStr">
        <is>
          <t>UI/UX</t>
        </is>
      </c>
      <c r="O97" s="11" t="inlineStr"/>
      <c r="P97" s="11" t="inlineStr"/>
      <c r="Q97" s="11" t="inlineStr"/>
      <c r="R97" s="11" t="inlineStr"/>
      <c r="S97" s="11" t="inlineStr">
        <is>
          <t>Store owner</t>
        </is>
      </c>
      <c r="T97" s="11" t="inlineStr">
        <is>
          <t>No</t>
        </is>
      </c>
      <c r="U97" s="11" t="inlineStr">
        <is>
          <t>docs/qa/regression/vendor-cms/VC-12-customers.md</t>
        </is>
      </c>
    </row>
    <row r="98">
      <c r="A98" s="11" t="inlineStr">
        <is>
          <t>VC-12-002</t>
        </is>
      </c>
      <c r="B98" s="11" t="inlineStr">
        <is>
          <t>Vendor CMS</t>
        </is>
      </c>
      <c r="C98" s="11" t="inlineStr">
        <is>
          <t>VC-12 · Customers and privacy requests</t>
        </is>
      </c>
      <c r="D98" s="11" t="inlineStr">
        <is>
          <t>List</t>
        </is>
      </c>
      <c r="E98" s="11" t="inlineStr">
        <is>
          <t>Search and export</t>
        </is>
      </c>
      <c r="F98" s="11" t="inlineStr">
        <is>
          <t>Search by name, email or phone; export CSV.</t>
        </is>
      </c>
      <c r="G98" s="11" t="inlineStr">
        <is>
          <t>A shopper account</t>
        </is>
      </c>
      <c r="H98" s="11" t="inlineStr">
        <is>
          <t>Shopper email</t>
        </is>
      </c>
      <c r="I98" s="11" t="inlineStr">
        <is>
          <t>1. Search the email
2. Press Export CSV
3. Verify the expected result.</t>
        </is>
      </c>
      <c r="J98" s="11" t="inlineStr">
        <is>
          <t>The account is found; a CSV downloads.</t>
        </is>
      </c>
      <c r="K98" s="11" t="inlineStr"/>
      <c r="L98" s="11" t="inlineStr">
        <is>
          <t>Not Run</t>
        </is>
      </c>
      <c r="M98" s="11" t="inlineStr">
        <is>
          <t>Medium</t>
        </is>
      </c>
      <c r="N98" s="11" t="inlineStr">
        <is>
          <t>Functional</t>
        </is>
      </c>
      <c r="O98" s="11" t="inlineStr"/>
      <c r="P98" s="11" t="inlineStr"/>
      <c r="Q98" s="11" t="inlineStr"/>
      <c r="R98" s="11" t="inlineStr"/>
      <c r="S98" s="11" t="inlineStr">
        <is>
          <t>Store owner</t>
        </is>
      </c>
      <c r="T98" s="11" t="inlineStr">
        <is>
          <t>No</t>
        </is>
      </c>
      <c r="U98" s="11" t="inlineStr">
        <is>
          <t>docs/qa/regression/vendor-cms/VC-12-customers.md</t>
        </is>
      </c>
    </row>
    <row r="99">
      <c r="A99" s="11" t="inlineStr">
        <is>
          <t>VC-12-003</t>
        </is>
      </c>
      <c r="B99" s="11" t="inlineStr">
        <is>
          <t>Vendor CMS</t>
        </is>
      </c>
      <c r="C99" s="11" t="inlineStr">
        <is>
          <t>VC-12 · Customers and privacy requests</t>
        </is>
      </c>
      <c r="D99" s="11" t="inlineStr">
        <is>
          <t>Privacy</t>
        </is>
      </c>
      <c r="E99" s="11" t="inlineStr">
        <is>
          <t>Data export request</t>
        </is>
      </c>
      <c r="F99" s="11" t="inlineStr">
        <is>
          <t>A data export request is due in 30 days and downloads JSON.</t>
        </is>
      </c>
      <c r="G99" s="11" t="inlineStr">
        <is>
          <t>A shopper account</t>
        </is>
      </c>
      <c r="H99" s="11" t="inlineStr">
        <is>
          <t>Type Data export</t>
        </is>
      </c>
      <c r="I99" s="11" t="inlineStr">
        <is>
          <t>1. Press Privacy requests → Record a request
2. Pick Data export and the shopper's email
3. Press Download data
4. Verify the expected result.</t>
        </is>
      </c>
      <c r="J99" s="11" t="inlineStr">
        <is>
          <t>Shown as Due in 30 days; a JSON file with account, addresses, orders and preferences.</t>
        </is>
      </c>
      <c r="K99" s="11" t="inlineStr"/>
      <c r="L99" s="11" t="inlineStr">
        <is>
          <t>Not Run</t>
        </is>
      </c>
      <c r="M99" s="11" t="inlineStr">
        <is>
          <t>High</t>
        </is>
      </c>
      <c r="N99" s="11" t="inlineStr">
        <is>
          <t>Functional</t>
        </is>
      </c>
      <c r="O99" s="11" t="inlineStr"/>
      <c r="P99" s="11" t="inlineStr"/>
      <c r="Q99" s="11" t="inlineStr"/>
      <c r="R99" s="11" t="inlineStr"/>
      <c r="S99" s="11" t="inlineStr">
        <is>
          <t>Store owner</t>
        </is>
      </c>
      <c r="T99" s="11" t="inlineStr">
        <is>
          <t>No</t>
        </is>
      </c>
      <c r="U99" s="11" t="inlineStr">
        <is>
          <t>docs/qa/regression/vendor-cms/VC-12-customers.md</t>
        </is>
      </c>
    </row>
    <row r="100">
      <c r="A100" s="11" t="inlineStr">
        <is>
          <t>VC-12-004</t>
        </is>
      </c>
      <c r="B100" s="11" t="inlineStr">
        <is>
          <t>Vendor CMS</t>
        </is>
      </c>
      <c r="C100" s="11" t="inlineStr">
        <is>
          <t>VC-12 · Customers and privacy requests</t>
        </is>
      </c>
      <c r="D100" s="11" t="inlineStr">
        <is>
          <t>Privacy</t>
        </is>
      </c>
      <c r="E100" s="11" t="inlineStr">
        <is>
          <t>Delete account request</t>
        </is>
      </c>
      <c r="F100" s="11" t="inlineStr">
        <is>
          <t>Deleting an account keeps its orders.</t>
        </is>
      </c>
      <c r="G100" s="11" t="inlineStr">
        <is>
          <t>A throw-away shopper account</t>
        </is>
      </c>
      <c r="H100" s="11" t="inlineStr">
        <is>
          <t>Type Delete account</t>
        </is>
      </c>
      <c r="I100" s="11" t="inlineStr">
        <is>
          <t>1. Record a Delete account request
2. Start
3. Delete account and confirm
4. Verify the expected result.</t>
        </is>
      </c>
      <c r="J100" s="11" t="inlineStr">
        <is>
          <t>The account is gone from Customers; its orders stay under Orders.</t>
        </is>
      </c>
      <c r="K100" s="11" t="inlineStr"/>
      <c r="L100" s="11" t="inlineStr">
        <is>
          <t>Not Run</t>
        </is>
      </c>
      <c r="M100" s="11" t="inlineStr">
        <is>
          <t>High</t>
        </is>
      </c>
      <c r="N100" s="11" t="inlineStr">
        <is>
          <t>Functional</t>
        </is>
      </c>
      <c r="O100" s="11" t="inlineStr"/>
      <c r="P100" s="11" t="inlineStr"/>
      <c r="Q100" s="11" t="inlineStr"/>
      <c r="R100" s="11" t="inlineStr">
        <is>
          <t>Also: Data persistence</t>
        </is>
      </c>
      <c r="S100" s="11" t="inlineStr">
        <is>
          <t>Store owner</t>
        </is>
      </c>
      <c r="T100" s="11" t="inlineStr">
        <is>
          <t>No</t>
        </is>
      </c>
      <c r="U100" s="11" t="inlineStr">
        <is>
          <t>docs/qa/regression/vendor-cms/VC-12-customers.md</t>
        </is>
      </c>
    </row>
    <row r="101">
      <c r="A101" s="11" t="inlineStr">
        <is>
          <t>VC-12-005</t>
        </is>
      </c>
      <c r="B101" s="11" t="inlineStr">
        <is>
          <t>Vendor CMS</t>
        </is>
      </c>
      <c r="C101" s="11" t="inlineStr">
        <is>
          <t>VC-12 · Customers and privacy requests</t>
        </is>
      </c>
      <c r="D101" s="11" t="inlineStr">
        <is>
          <t>Permissions</t>
        </is>
      </c>
      <c r="E101" s="11" t="inlineStr">
        <is>
          <t>No privacy actions for order manager</t>
        </is>
      </c>
      <c r="F101" s="11" t="inlineStr">
        <is>
          <t>Order managers see customers without request buttons.</t>
        </is>
      </c>
      <c r="G101" s="11" t="inlineStr">
        <is>
          <t>Signed in as Order manager</t>
        </is>
      </c>
      <c r="H101" s="11" t="inlineStr">
        <is>
          <t>—</t>
        </is>
      </c>
      <c r="I101" s="11" t="inlineStr">
        <is>
          <t>1. Open Customers
2. Verify the expected result.</t>
        </is>
      </c>
      <c r="J101" s="11" t="inlineStr">
        <is>
          <t>The list shows without Record a request or delete actions.</t>
        </is>
      </c>
      <c r="K101" s="11" t="inlineStr"/>
      <c r="L101" s="11" t="inlineStr">
        <is>
          <t>Not Run</t>
        </is>
      </c>
      <c r="M101" s="11" t="inlineStr">
        <is>
          <t>Medium</t>
        </is>
      </c>
      <c r="N101" s="11" t="inlineStr">
        <is>
          <t>Security/Permissions</t>
        </is>
      </c>
      <c r="O101" s="11" t="inlineStr"/>
      <c r="P101" s="11" t="inlineStr"/>
      <c r="Q101" s="11" t="inlineStr"/>
      <c r="R101" s="11" t="inlineStr"/>
      <c r="S101" s="11" t="inlineStr">
        <is>
          <t>Order manager</t>
        </is>
      </c>
      <c r="T101" s="11" t="inlineStr">
        <is>
          <t>No</t>
        </is>
      </c>
      <c r="U101" s="11" t="inlineStr">
        <is>
          <t>docs/qa/regression/vendor-cms/VC-12-customers.md</t>
        </is>
      </c>
    </row>
    <row r="102">
      <c r="A102" s="11" t="inlineStr">
        <is>
          <t>VC-13-001</t>
        </is>
      </c>
      <c r="B102" s="11" t="inlineStr">
        <is>
          <t>Vendor CMS</t>
        </is>
      </c>
      <c r="C102" s="11" t="inlineStr">
        <is>
          <t>VC-13 · Enquiries inbox</t>
        </is>
      </c>
      <c r="D102" s="11" t="inlineStr">
        <is>
          <t>Inbox</t>
        </is>
      </c>
      <c r="E102" s="11" t="inlineStr">
        <is>
          <t>Tabs, filter and cards</t>
        </is>
      </c>
      <c r="F102" s="11" t="inlineStr">
        <is>
          <t>The inbox shows tabs, filter, search and the open enquiry.</t>
        </is>
      </c>
      <c r="G102" s="11" t="inlineStr">
        <is>
          <t>Signed in as Home Orbit's owner (or super admin with Manage store on Home Orbit); enquiries from the store</t>
        </is>
      </c>
      <c r="H102" s="11" t="inlineStr">
        <is>
          <t>—</t>
        </is>
      </c>
      <c r="I102" s="11" t="inlineStr">
        <is>
          <t>1. Open Sales → Enquiries
2. Verify the expected result.</t>
        </is>
      </c>
      <c r="J102" s="11" t="inlineStr">
        <is>
          <t>Tabs New, In progress, Closed with counts, a Type filter, search, cards on the left and the newest open on the right.</t>
        </is>
      </c>
      <c r="K102" s="11" t="inlineStr"/>
      <c r="L102" s="11" t="inlineStr">
        <is>
          <t>Not Run</t>
        </is>
      </c>
      <c r="M102" s="11" t="inlineStr">
        <is>
          <t>High</t>
        </is>
      </c>
      <c r="N102" s="11" t="inlineStr">
        <is>
          <t>UI/UX</t>
        </is>
      </c>
      <c r="O102" s="11" t="inlineStr"/>
      <c r="P102" s="11" t="inlineStr"/>
      <c r="Q102" s="11" t="inlineStr"/>
      <c r="R102" s="11" t="inlineStr"/>
      <c r="S102" s="11" t="inlineStr">
        <is>
          <t>Store owner</t>
        </is>
      </c>
      <c r="T102" s="11" t="inlineStr">
        <is>
          <t>Yes</t>
        </is>
      </c>
      <c r="U102" s="11" t="inlineStr">
        <is>
          <t>docs/qa/regression/vendor-cms/VC-13-enquiries.md</t>
        </is>
      </c>
    </row>
    <row r="103">
      <c r="A103" s="11" t="inlineStr">
        <is>
          <t>VC-13-002</t>
        </is>
      </c>
      <c r="B103" s="11" t="inlineStr">
        <is>
          <t>Vendor CMS</t>
        </is>
      </c>
      <c r="C103" s="11" t="inlineStr">
        <is>
          <t>VC-13 · Enquiries inbox</t>
        </is>
      </c>
      <c r="D103" s="11" t="inlineStr">
        <is>
          <t>Detail</t>
        </is>
      </c>
      <c r="E103" s="11" t="inlineStr">
        <is>
          <t>Product enquiry details</t>
        </is>
      </c>
      <c r="F103" s="11" t="inlineStr">
        <is>
          <t>A product enquiry shows the product and chosen options.</t>
        </is>
      </c>
      <c r="G103" s="11" t="inlineStr">
        <is>
          <t>A quote request sent from a product page with options</t>
        </is>
      </c>
      <c r="H103" s="11" t="inlineStr">
        <is>
          <t>—</t>
        </is>
      </c>
      <c r="I103" s="11" t="inlineStr">
        <is>
          <t>1. Click the product enquiry
2. Verify the expected result.</t>
        </is>
      </c>
      <c r="J103" s="11" t="inlineStr">
        <is>
          <t>Name, company, phone, email, city, when; the product with photo, model number and quantity; the message with "Options: …".</t>
        </is>
      </c>
      <c r="K103" s="11" t="inlineStr"/>
      <c r="L103" s="11" t="inlineStr">
        <is>
          <t>Not Run</t>
        </is>
      </c>
      <c r="M103" s="11" t="inlineStr">
        <is>
          <t>High</t>
        </is>
      </c>
      <c r="N103" s="11" t="inlineStr">
        <is>
          <t>Integration</t>
        </is>
      </c>
      <c r="O103" s="11" t="inlineStr"/>
      <c r="P103" s="11" t="inlineStr"/>
      <c r="Q103" s="11" t="inlineStr"/>
      <c r="R103" s="11" t="inlineStr"/>
      <c r="S103" s="11" t="inlineStr">
        <is>
          <t>Store owner</t>
        </is>
      </c>
      <c r="T103" s="11" t="inlineStr">
        <is>
          <t>No</t>
        </is>
      </c>
      <c r="U103" s="11" t="inlineStr">
        <is>
          <t>docs/qa/regression/vendor-cms/VC-13-enquiries.md</t>
        </is>
      </c>
    </row>
    <row r="104">
      <c r="A104" s="11" t="inlineStr">
        <is>
          <t>VC-13-003</t>
        </is>
      </c>
      <c r="B104" s="11" t="inlineStr">
        <is>
          <t>Vendor CMS</t>
        </is>
      </c>
      <c r="C104" s="11" t="inlineStr">
        <is>
          <t>VC-13 · Enquiries inbox</t>
        </is>
      </c>
      <c r="D104" s="11" t="inlineStr">
        <is>
          <t>Reply</t>
        </is>
      </c>
      <c r="E104" s="11" t="inlineStr">
        <is>
          <t>Reply on WhatsApp and email</t>
        </is>
      </c>
      <c r="F104" s="11" t="inlineStr">
        <is>
          <t>Reply buttons open WhatsApp or email.</t>
        </is>
      </c>
      <c r="G104" s="11" t="inlineStr">
        <is>
          <t>An enquiry with phone and email</t>
        </is>
      </c>
      <c r="H104" s="11" t="inlineStr">
        <is>
          <t>—</t>
        </is>
      </c>
      <c r="I104" s="11" t="inlineStr">
        <is>
          <t>1. Press Reply on WhatsApp
2. Look for Reply by email
3. Verify the expected result.</t>
        </is>
      </c>
      <c r="J104" s="11" t="inlineStr">
        <is>
          <t>WhatsApp opens to the shopper's number with a greeting naming the enquiry; Reply by email shows when an email exists; Create formal quote is marked P2.</t>
        </is>
      </c>
      <c r="K104" s="11" t="inlineStr"/>
      <c r="L104" s="11" t="inlineStr">
        <is>
          <t>Not Run</t>
        </is>
      </c>
      <c r="M104" s="11" t="inlineStr">
        <is>
          <t>Medium</t>
        </is>
      </c>
      <c r="N104" s="11" t="inlineStr">
        <is>
          <t>Functional</t>
        </is>
      </c>
      <c r="O104" s="11" t="inlineStr"/>
      <c r="P104" s="11" t="inlineStr"/>
      <c r="Q104" s="11" t="inlineStr"/>
      <c r="R104" s="11" t="inlineStr"/>
      <c r="S104" s="11" t="inlineStr">
        <is>
          <t>Store owner</t>
        </is>
      </c>
      <c r="T104" s="11" t="inlineStr">
        <is>
          <t>No</t>
        </is>
      </c>
      <c r="U104" s="11" t="inlineStr">
        <is>
          <t>docs/qa/regression/vendor-cms/VC-13-enquiries.md</t>
        </is>
      </c>
    </row>
    <row r="105">
      <c r="A105" s="11" t="inlineStr">
        <is>
          <t>VC-13-004</t>
        </is>
      </c>
      <c r="B105" s="11" t="inlineStr">
        <is>
          <t>Vendor CMS</t>
        </is>
      </c>
      <c r="C105" s="11" t="inlineStr">
        <is>
          <t>VC-13 · Enquiries inbox</t>
        </is>
      </c>
      <c r="D105" s="11" t="inlineStr">
        <is>
          <t>Workflow</t>
        </is>
      </c>
      <c r="E105" s="11" t="inlineStr">
        <is>
          <t>Assign, status and notes</t>
        </is>
      </c>
      <c r="F105" s="11" t="inlineStr">
        <is>
          <t>Assignment, status and notes save at once.</t>
        </is>
      </c>
      <c r="G105" s="11" t="inlineStr">
        <is>
          <t>An enquiry under New</t>
        </is>
      </c>
      <c r="H105" s="11" t="inlineStr">
        <is>
          <t>Assign to yourself; status Contacted; note "Called back"</t>
        </is>
      </c>
      <c r="I105" s="11" t="inlineStr">
        <is>
          <t>1. Assign it to yourself
2. Set Status to Contacted
3. Add the note with Add note
4. Reload
5. Verify the expected result.</t>
        </is>
      </c>
      <c r="J105" s="11" t="inlineStr">
        <is>
          <t>Each saves at once; the note lists with your name; the enquiry moves to In progress.</t>
        </is>
      </c>
      <c r="K105" s="11" t="inlineStr"/>
      <c r="L105" s="11" t="inlineStr">
        <is>
          <t>Not Run</t>
        </is>
      </c>
      <c r="M105" s="11" t="inlineStr">
        <is>
          <t>High</t>
        </is>
      </c>
      <c r="N105" s="11" t="inlineStr">
        <is>
          <t>Functional</t>
        </is>
      </c>
      <c r="O105" s="11" t="inlineStr"/>
      <c r="P105" s="11" t="inlineStr"/>
      <c r="Q105" s="11" t="inlineStr"/>
      <c r="R105" s="11" t="inlineStr">
        <is>
          <t>Also: Data persistence</t>
        </is>
      </c>
      <c r="S105" s="11" t="inlineStr">
        <is>
          <t>Store owner</t>
        </is>
      </c>
      <c r="T105" s="11" t="inlineStr">
        <is>
          <t>No</t>
        </is>
      </c>
      <c r="U105" s="11" t="inlineStr">
        <is>
          <t>docs/qa/regression/vendor-cms/VC-13-enquiries.md</t>
        </is>
      </c>
    </row>
    <row r="106">
      <c r="A106" s="11" t="inlineStr">
        <is>
          <t>VC-13-005</t>
        </is>
      </c>
      <c r="B106" s="11" t="inlineStr">
        <is>
          <t>Vendor CMS</t>
        </is>
      </c>
      <c r="C106" s="11" t="inlineStr">
        <is>
          <t>VC-13 · Enquiries inbox</t>
        </is>
      </c>
      <c r="D106" s="11" t="inlineStr">
        <is>
          <t>Workflow</t>
        </is>
      </c>
      <c r="E106" s="11" t="inlineStr">
        <is>
          <t>Close as won</t>
        </is>
      </c>
      <c r="F106" s="11" t="inlineStr">
        <is>
          <t>Won moves the enquiry to Closed.</t>
        </is>
      </c>
      <c r="G106" s="11" t="inlineStr">
        <is>
          <t>An enquiry in progress</t>
        </is>
      </c>
      <c r="H106" s="11" t="inlineStr">
        <is>
          <t>Status Won</t>
        </is>
      </c>
      <c r="I106" s="11" t="inlineStr">
        <is>
          <t>1. Set Status to Won
2. Verify the expected result.</t>
        </is>
      </c>
      <c r="J106" s="11" t="inlineStr">
        <is>
          <t>The enquiry moves to Closed.</t>
        </is>
      </c>
      <c r="K106" s="11" t="inlineStr"/>
      <c r="L106" s="11" t="inlineStr">
        <is>
          <t>Not Run</t>
        </is>
      </c>
      <c r="M106" s="11" t="inlineStr">
        <is>
          <t>Medium</t>
        </is>
      </c>
      <c r="N106" s="11" t="inlineStr">
        <is>
          <t>Functional</t>
        </is>
      </c>
      <c r="O106" s="11" t="inlineStr"/>
      <c r="P106" s="11" t="inlineStr"/>
      <c r="Q106" s="11" t="inlineStr"/>
      <c r="R106" s="11" t="inlineStr"/>
      <c r="S106" s="11" t="inlineStr">
        <is>
          <t>Store owner</t>
        </is>
      </c>
      <c r="T106" s="11" t="inlineStr">
        <is>
          <t>No</t>
        </is>
      </c>
      <c r="U106" s="11" t="inlineStr">
        <is>
          <t>docs/qa/regression/vendor-cms/VC-13-enquiries.md</t>
        </is>
      </c>
    </row>
    <row r="107">
      <c r="A107" s="11" t="inlineStr">
        <is>
          <t>VC-13-006</t>
        </is>
      </c>
      <c r="B107" s="11" t="inlineStr">
        <is>
          <t>Vendor CMS</t>
        </is>
      </c>
      <c r="C107" s="11" t="inlineStr">
        <is>
          <t>VC-13 · Enquiries inbox</t>
        </is>
      </c>
      <c r="D107" s="11" t="inlineStr">
        <is>
          <t>Log</t>
        </is>
      </c>
      <c r="E107" s="11" t="inlineStr">
        <is>
          <t>Log a phone enquiry</t>
        </is>
      </c>
      <c r="F107" s="11" t="inlineStr">
        <is>
          <t>Staff can log an enquiry by hand.</t>
        </is>
      </c>
      <c r="G107" s="11" t="inlineStr">
        <is>
          <t>Signed in as Home Orbit's owner (or super admin with Manage store on Home Orbit)</t>
        </is>
      </c>
      <c r="H107" s="11" t="inlineStr">
        <is>
          <t>Name, phone, message</t>
        </is>
      </c>
      <c r="I107" s="11" t="inlineStr">
        <is>
          <t>1. Press Log an enquiry
2. Fill and save
3. Verify the expected result.</t>
        </is>
      </c>
      <c r="J107" s="11" t="inlineStr">
        <is>
          <t>It gets the next ENQ number and shows under New.</t>
        </is>
      </c>
      <c r="K107" s="11" t="inlineStr"/>
      <c r="L107" s="11" t="inlineStr">
        <is>
          <t>Not Run</t>
        </is>
      </c>
      <c r="M107" s="11" t="inlineStr">
        <is>
          <t>Medium</t>
        </is>
      </c>
      <c r="N107" s="11" t="inlineStr">
        <is>
          <t>Functional</t>
        </is>
      </c>
      <c r="O107" s="11" t="inlineStr"/>
      <c r="P107" s="11" t="inlineStr"/>
      <c r="Q107" s="11" t="inlineStr"/>
      <c r="R107" s="11" t="inlineStr"/>
      <c r="S107" s="11" t="inlineStr">
        <is>
          <t>Store owner</t>
        </is>
      </c>
      <c r="T107" s="11" t="inlineStr">
        <is>
          <t>No</t>
        </is>
      </c>
      <c r="U107" s="11" t="inlineStr">
        <is>
          <t>docs/qa/regression/vendor-cms/VC-13-enquiries.md</t>
        </is>
      </c>
    </row>
    <row r="108">
      <c r="A108" s="11" t="inlineStr">
        <is>
          <t>VC-13-007</t>
        </is>
      </c>
      <c r="B108" s="11" t="inlineStr">
        <is>
          <t>Vendor CMS</t>
        </is>
      </c>
      <c r="C108" s="11" t="inlineStr">
        <is>
          <t>VC-13 · Enquiries inbox</t>
        </is>
      </c>
      <c r="D108" s="11" t="inlineStr">
        <is>
          <t>Log</t>
        </is>
      </c>
      <c r="E108" s="11" t="inlineStr">
        <is>
          <t>Contact required</t>
        </is>
      </c>
      <c r="F108" s="11" t="inlineStr">
        <is>
          <t>A logged enquiry needs a phone or email.</t>
        </is>
      </c>
      <c r="G108" s="11" t="inlineStr">
        <is>
          <t>Signed in as Home Orbit's owner (or super admin with Manage store on Home Orbit)</t>
        </is>
      </c>
      <c r="H108" s="11" t="inlineStr">
        <is>
          <t>Name only</t>
        </is>
      </c>
      <c r="I108" s="11" t="inlineStr">
        <is>
          <t>1. Log an enquiry with only a name
2. Verify the expected result.</t>
        </is>
      </c>
      <c r="J108" s="11" t="inlineStr">
        <is>
          <t>Refused asking for a phone or email.</t>
        </is>
      </c>
      <c r="K108" s="11" t="inlineStr"/>
      <c r="L108" s="11" t="inlineStr">
        <is>
          <t>Not Run</t>
        </is>
      </c>
      <c r="M108" s="11" t="inlineStr">
        <is>
          <t>Medium</t>
        </is>
      </c>
      <c r="N108" s="11" t="inlineStr">
        <is>
          <t>Validation</t>
        </is>
      </c>
      <c r="O108" s="11" t="inlineStr"/>
      <c r="P108" s="11" t="inlineStr"/>
      <c r="Q108" s="11" t="inlineStr"/>
      <c r="R108" s="11" t="inlineStr"/>
      <c r="S108" s="11" t="inlineStr">
        <is>
          <t>Store owner</t>
        </is>
      </c>
      <c r="T108" s="11" t="inlineStr">
        <is>
          <t>No</t>
        </is>
      </c>
      <c r="U108" s="11" t="inlineStr">
        <is>
          <t>docs/qa/regression/vendor-cms/VC-13-enquiries.md</t>
        </is>
      </c>
    </row>
    <row r="109">
      <c r="A109" s="11" t="inlineStr">
        <is>
          <t>VC-13-008</t>
        </is>
      </c>
      <c r="B109" s="11" t="inlineStr">
        <is>
          <t>Vendor CMS</t>
        </is>
      </c>
      <c r="C109" s="11" t="inlineStr">
        <is>
          <t>VC-13 · Enquiries inbox</t>
        </is>
      </c>
      <c r="D109" s="11" t="inlineStr">
        <is>
          <t>Permissions</t>
        </is>
      </c>
      <c r="E109" s="11" t="inlineStr">
        <is>
          <t>Catalog editor has no enquiries</t>
        </is>
      </c>
      <c r="F109" s="11" t="inlineStr">
        <is>
          <t>Catalog editors cannot open enquiries.</t>
        </is>
      </c>
      <c r="G109" s="11" t="inlineStr">
        <is>
          <t>Signed in as Catalog editor</t>
        </is>
      </c>
      <c r="H109" s="11" t="inlineStr">
        <is>
          <t>http://localhost:3000/admin/collections/enquiries</t>
        </is>
      </c>
      <c r="I109" s="11" t="inlineStr">
        <is>
          <t>1. Open the address
2. Verify the expected result.</t>
        </is>
      </c>
      <c r="J109" s="11" t="inlineStr">
        <is>
          <t>"Nothing found"; no Sales group in the menu.</t>
        </is>
      </c>
      <c r="K109" s="11" t="inlineStr"/>
      <c r="L109" s="11" t="inlineStr">
        <is>
          <t>Not Run</t>
        </is>
      </c>
      <c r="M109" s="11" t="inlineStr">
        <is>
          <t>High</t>
        </is>
      </c>
      <c r="N109" s="11" t="inlineStr">
        <is>
          <t>Security/Permissions</t>
        </is>
      </c>
      <c r="O109" s="11" t="inlineStr"/>
      <c r="P109" s="11" t="inlineStr"/>
      <c r="Q109" s="11" t="inlineStr"/>
      <c r="R109" s="11" t="inlineStr"/>
      <c r="S109" s="11" t="inlineStr">
        <is>
          <t>Catalog editor</t>
        </is>
      </c>
      <c r="T109" s="11" t="inlineStr">
        <is>
          <t>No</t>
        </is>
      </c>
      <c r="U109" s="11" t="inlineStr">
        <is>
          <t>docs/qa/regression/vendor-cms/VC-13-enquiries.md</t>
        </is>
      </c>
    </row>
    <row r="110">
      <c r="A110" s="11" t="inlineStr">
        <is>
          <t>VC-14-001</t>
        </is>
      </c>
      <c r="B110" s="11" t="inlineStr">
        <is>
          <t>Vendor CMS</t>
        </is>
      </c>
      <c r="C110" s="11" t="inlineStr">
        <is>
          <t>VC-14 · Schemes and offers</t>
        </is>
      </c>
      <c r="D110" s="11" t="inlineStr">
        <is>
          <t>Start</t>
        </is>
      </c>
      <c r="E110" s="11" t="inlineStr">
        <is>
          <t>Start from an occasion</t>
        </is>
      </c>
      <c r="F110" s="11" t="inlineStr">
        <is>
          <t>An occasion opens a prefilled draft.</t>
        </is>
      </c>
      <c r="G110" s="11" t="inlineStr">
        <is>
          <t>Signed in as Home Orbit's owner (or super admin with Manage store on Home Orbit); store selling: `pnpm demo:selling home-orbit` run</t>
        </is>
      </c>
      <c r="H110" s="11" t="inlineStr">
        <is>
          <t>Occasion Diwali</t>
        </is>
      </c>
      <c r="I110" s="11" t="inlineStr">
        <is>
          <t>1. Open Marketing → Schemes and offers
2. Press Diwali under Start from an occasion
3. Verify the expected result.</t>
        </is>
      </c>
      <c r="J110" s="11" t="inlineStr">
        <is>
          <t>The editor opens a draft "Diwali 2026" with its badge.</t>
        </is>
      </c>
      <c r="K110" s="11" t="inlineStr"/>
      <c r="L110" s="11" t="inlineStr">
        <is>
          <t>Not Run</t>
        </is>
      </c>
      <c r="M110" s="11" t="inlineStr">
        <is>
          <t>High</t>
        </is>
      </c>
      <c r="N110" s="11" t="inlineStr">
        <is>
          <t>Functional</t>
        </is>
      </c>
      <c r="O110" s="11" t="inlineStr"/>
      <c r="P110" s="11" t="inlineStr"/>
      <c r="Q110" s="11" t="inlineStr"/>
      <c r="R110" s="11" t="inlineStr"/>
      <c r="S110" s="11" t="inlineStr">
        <is>
          <t>Store owner</t>
        </is>
      </c>
      <c r="T110" s="11" t="inlineStr">
        <is>
          <t>Yes</t>
        </is>
      </c>
      <c r="U110" s="11" t="inlineStr">
        <is>
          <t>docs/qa/regression/vendor-cms/VC-14-schemes.md</t>
        </is>
      </c>
    </row>
    <row r="111">
      <c r="A111" s="11" t="inlineStr">
        <is>
          <t>VC-14-002</t>
        </is>
      </c>
      <c r="B111" s="11" t="inlineStr">
        <is>
          <t>Vendor CMS</t>
        </is>
      </c>
      <c r="C111" s="11" t="inlineStr">
        <is>
          <t>VC-14 · Schemes and offers</t>
        </is>
      </c>
      <c r="D111" s="11" t="inlineStr">
        <is>
          <t>Editor</t>
        </is>
      </c>
      <c r="E111" s="11" t="inlineStr">
        <is>
          <t>Dates validation</t>
        </is>
      </c>
      <c r="F111" s="11" t="inlineStr">
        <is>
          <t>The end must be after the start.</t>
        </is>
      </c>
      <c r="G111" s="11" t="inlineStr">
        <is>
          <t>Scheme draft</t>
        </is>
      </c>
      <c r="H111" s="11" t="inlineStr">
        <is>
          <t>Ends before Starts</t>
        </is>
      </c>
      <c r="I111" s="11" t="inlineStr">
        <is>
          <t>1. Set Ends earlier than Starts
2. Save
3. Verify the expected result.</t>
        </is>
      </c>
      <c r="J111" s="11" t="inlineStr">
        <is>
          <t>Refused with a message.</t>
        </is>
      </c>
      <c r="K111" s="11" t="inlineStr"/>
      <c r="L111" s="11" t="inlineStr">
        <is>
          <t>Not Run</t>
        </is>
      </c>
      <c r="M111" s="11" t="inlineStr">
        <is>
          <t>High</t>
        </is>
      </c>
      <c r="N111" s="11" t="inlineStr">
        <is>
          <t>Validation</t>
        </is>
      </c>
      <c r="O111" s="11" t="inlineStr"/>
      <c r="P111" s="11" t="inlineStr"/>
      <c r="Q111" s="11" t="inlineStr"/>
      <c r="R111" s="11" t="inlineStr"/>
      <c r="S111" s="11" t="inlineStr">
        <is>
          <t>Store owner</t>
        </is>
      </c>
      <c r="T111" s="11" t="inlineStr">
        <is>
          <t>No</t>
        </is>
      </c>
      <c r="U111" s="11" t="inlineStr">
        <is>
          <t>docs/qa/regression/vendor-cms/VC-14-schemes.md</t>
        </is>
      </c>
    </row>
    <row r="112">
      <c r="A112" s="11" t="inlineStr">
        <is>
          <t>VC-14-003</t>
        </is>
      </c>
      <c r="B112" s="11" t="inlineStr">
        <is>
          <t>Vendor CMS</t>
        </is>
      </c>
      <c r="C112" s="11" t="inlineStr">
        <is>
          <t>VC-14 · Schemes and offers</t>
        </is>
      </c>
      <c r="D112" s="11" t="inlineStr">
        <is>
          <t>Editor</t>
        </is>
      </c>
      <c r="E112" s="11" t="inlineStr">
        <is>
          <t>Percent off range</t>
        </is>
      </c>
      <c r="F112" s="11" t="inlineStr">
        <is>
          <t>Percent off must be between 1 and 100.</t>
        </is>
      </c>
      <c r="G112" s="11" t="inlineStr">
        <is>
          <t>Scheme draft</t>
        </is>
      </c>
      <c r="H112" s="11" t="inlineStr">
        <is>
          <t>Percent off 0, then 150</t>
        </is>
      </c>
      <c r="I112" s="11" t="inlineStr">
        <is>
          <t>1. Enter 0 and save
2. Enter 150 and save
3. Verify the expected result.</t>
        </is>
      </c>
      <c r="J112" s="11" t="inlineStr">
        <is>
          <t>Both refused.</t>
        </is>
      </c>
      <c r="K112" s="11" t="inlineStr"/>
      <c r="L112" s="11" t="inlineStr">
        <is>
          <t>Not Run</t>
        </is>
      </c>
      <c r="M112" s="11" t="inlineStr">
        <is>
          <t>Medium</t>
        </is>
      </c>
      <c r="N112" s="11" t="inlineStr">
        <is>
          <t>Boundary</t>
        </is>
      </c>
      <c r="O112" s="11" t="inlineStr"/>
      <c r="P112" s="11" t="inlineStr"/>
      <c r="Q112" s="11" t="inlineStr"/>
      <c r="R112" s="11" t="inlineStr"/>
      <c r="S112" s="11" t="inlineStr">
        <is>
          <t>Store owner</t>
        </is>
      </c>
      <c r="T112" s="11" t="inlineStr">
        <is>
          <t>No</t>
        </is>
      </c>
      <c r="U112" s="11" t="inlineStr">
        <is>
          <t>docs/qa/regression/vendor-cms/VC-14-schemes.md</t>
        </is>
      </c>
    </row>
    <row r="113">
      <c r="A113" s="11" t="inlineStr">
        <is>
          <t>VC-14-004</t>
        </is>
      </c>
      <c r="B113" s="11" t="inlineStr">
        <is>
          <t>Vendor CMS</t>
        </is>
      </c>
      <c r="C113" s="11" t="inlineStr">
        <is>
          <t>VC-14 · Schemes and offers</t>
        </is>
      </c>
      <c r="D113" s="11" t="inlineStr">
        <is>
          <t>Schedule</t>
        </is>
      </c>
      <c r="E113" s="11" t="inlineStr">
        <is>
          <t>Go live</t>
        </is>
      </c>
      <c r="F113" s="11" t="inlineStr">
        <is>
          <t>Scheduling a started scheme makes it live on the store.</t>
        </is>
      </c>
      <c r="G113" s="11" t="inlineStr">
        <is>
          <t>Scheme draft</t>
        </is>
      </c>
      <c r="H113" s="11" t="inlineStr">
        <is>
          <t>Starts a minute ago, ends next week, Percent off 10, max 1500, Whole store, announcement text</t>
        </is>
      </c>
      <c r="I113" s="11" t="inlineStr">
        <is>
          <t>1. Fill the scheme
2. Save
3. Press Schedule
4. Open http://home-orbit.localhost:3000
5. Verify the expected result.</t>
        </is>
      </c>
      <c r="J113" s="11" t="inlineStr">
        <is>
          <t>Status Live; the top bar shows the announcement; cards show the badge, offer price, MRP struck through and "until &lt;date&gt;"; product page says "Offer ends".</t>
        </is>
      </c>
      <c r="K113" s="11" t="inlineStr"/>
      <c r="L113" s="11" t="inlineStr">
        <is>
          <t>Not Run</t>
        </is>
      </c>
      <c r="M113" s="11" t="inlineStr">
        <is>
          <t>Critical</t>
        </is>
      </c>
      <c r="N113" s="11" t="inlineStr">
        <is>
          <t>Functional</t>
        </is>
      </c>
      <c r="O113" s="11" t="inlineStr"/>
      <c r="P113" s="11" t="inlineStr"/>
      <c r="Q113" s="11" t="inlineStr"/>
      <c r="R113" s="11" t="inlineStr">
        <is>
          <t>Also: Integration</t>
        </is>
      </c>
      <c r="S113" s="11" t="inlineStr">
        <is>
          <t>Store owner</t>
        </is>
      </c>
      <c r="T113" s="11" t="inlineStr">
        <is>
          <t>Yes</t>
        </is>
      </c>
      <c r="U113" s="11" t="inlineStr">
        <is>
          <t>docs/qa/regression/vendor-cms/VC-14-schemes.md</t>
        </is>
      </c>
    </row>
    <row r="114">
      <c r="A114" s="11" t="inlineStr">
        <is>
          <t>VC-14-005</t>
        </is>
      </c>
      <c r="B114" s="11" t="inlineStr">
        <is>
          <t>Vendor CMS</t>
        </is>
      </c>
      <c r="C114" s="11" t="inlineStr">
        <is>
          <t>VC-14 · Schemes and offers</t>
        </is>
      </c>
      <c r="D114" s="11" t="inlineStr">
        <is>
          <t>Schedule</t>
        </is>
      </c>
      <c r="E114" s="11" t="inlineStr">
        <is>
          <t>Cart discount line</t>
        </is>
      </c>
      <c r="F114" s="11" t="inlineStr">
        <is>
          <t>A live scheme shows as its own discount line.</t>
        </is>
      </c>
      <c r="G114" s="11" t="inlineStr">
        <is>
          <t>Scheme live</t>
        </is>
      </c>
      <c r="H114" s="11" t="inlineStr">
        <is>
          <t>Add an item to the cart</t>
        </is>
      </c>
      <c r="I114" s="11" t="inlineStr">
        <is>
          <t>1. Add a covered product to the cart
2. Open the cart
3. Verify the expected result.</t>
        </is>
      </c>
      <c r="J114" s="11" t="inlineStr">
        <is>
          <t>"Diwali 2026 − ₹…" under Discounts; totals recomputed by the server.</t>
        </is>
      </c>
      <c r="K114" s="11" t="inlineStr"/>
      <c r="L114" s="11" t="inlineStr">
        <is>
          <t>Not Run</t>
        </is>
      </c>
      <c r="M114" s="11" t="inlineStr">
        <is>
          <t>Critical</t>
        </is>
      </c>
      <c r="N114" s="11" t="inlineStr">
        <is>
          <t>Integration</t>
        </is>
      </c>
      <c r="O114" s="11" t="inlineStr"/>
      <c r="P114" s="11" t="inlineStr"/>
      <c r="Q114" s="11" t="inlineStr"/>
      <c r="R114" s="11" t="inlineStr"/>
      <c r="S114" s="11" t="inlineStr">
        <is>
          <t>Store owner</t>
        </is>
      </c>
      <c r="T114" s="11" t="inlineStr">
        <is>
          <t>No</t>
        </is>
      </c>
      <c r="U114" s="11" t="inlineStr">
        <is>
          <t>docs/qa/regression/vendor-cms/VC-14-schemes.md</t>
        </is>
      </c>
    </row>
    <row r="115">
      <c r="A115" s="11" t="inlineStr">
        <is>
          <t>VC-14-006</t>
        </is>
      </c>
      <c r="B115" s="11" t="inlineStr">
        <is>
          <t>Vendor CMS</t>
        </is>
      </c>
      <c r="C115" s="11" t="inlineStr">
        <is>
          <t>VC-14 · Schemes and offers</t>
        </is>
      </c>
      <c r="D115" s="11" t="inlineStr">
        <is>
          <t>Timeline</t>
        </is>
      </c>
      <c r="E115" s="11" t="inlineStr">
        <is>
          <t>Overlap explained</t>
        </is>
      </c>
      <c r="F115" s="11" t="inlineStr">
        <is>
          <t>The timeline shows overlapping schemes.</t>
        </is>
      </c>
      <c r="G115" s="11" t="inlineStr">
        <is>
          <t>Two schemes with overlapping dates</t>
        </is>
      </c>
      <c r="H115" s="11" t="inlineStr">
        <is>
          <t>—</t>
        </is>
      </c>
      <c r="I115" s="11" t="inlineStr">
        <is>
          <t>1. Open the Schemes list
2. Verify the expected result.</t>
        </is>
      </c>
      <c r="J115" s="11" t="inlineStr">
        <is>
          <t>The six-month timeline shows both bars and the first overlap explained.</t>
        </is>
      </c>
      <c r="K115" s="11" t="inlineStr"/>
      <c r="L115" s="11" t="inlineStr">
        <is>
          <t>Not Run</t>
        </is>
      </c>
      <c r="M115" s="11" t="inlineStr">
        <is>
          <t>Low</t>
        </is>
      </c>
      <c r="N115" s="11" t="inlineStr">
        <is>
          <t>UI/UX</t>
        </is>
      </c>
      <c r="O115" s="11" t="inlineStr"/>
      <c r="P115" s="11" t="inlineStr"/>
      <c r="Q115" s="11" t="inlineStr"/>
      <c r="R115" s="11" t="inlineStr"/>
      <c r="S115" s="11" t="inlineStr">
        <is>
          <t>Store owner</t>
        </is>
      </c>
      <c r="T115" s="11" t="inlineStr">
        <is>
          <t>No</t>
        </is>
      </c>
      <c r="U115" s="11" t="inlineStr">
        <is>
          <t>docs/qa/regression/vendor-cms/VC-14-schemes.md</t>
        </is>
      </c>
    </row>
    <row r="116">
      <c r="A116" s="11" t="inlineStr">
        <is>
          <t>VC-14-007</t>
        </is>
      </c>
      <c r="B116" s="11" t="inlineStr">
        <is>
          <t>Vendor CMS</t>
        </is>
      </c>
      <c r="C116" s="11" t="inlineStr">
        <is>
          <t>VC-14 · Schemes and offers</t>
        </is>
      </c>
      <c r="D116" s="11" t="inlineStr">
        <is>
          <t>End</t>
        </is>
      </c>
      <c r="E116" s="11" t="inlineStr">
        <is>
          <t>End now</t>
        </is>
      </c>
      <c r="F116" s="11" t="inlineStr">
        <is>
          <t>Ending a scheme restores prices at once.</t>
        </is>
      </c>
      <c r="G116" s="11" t="inlineStr">
        <is>
          <t>Scheme live</t>
        </is>
      </c>
      <c r="H116" s="11" t="inlineStr">
        <is>
          <t>—</t>
        </is>
      </c>
      <c r="I116" s="11" t="inlineStr">
        <is>
          <t>1. Press End now in the editor
2. Reload http://home-orbit.localhost:3000 and /offers/diwali-2026
3. Verify the expected result.</t>
        </is>
      </c>
      <c r="J116" s="11" t="inlineStr">
        <is>
          <t>Prices go back, the announcement goes, and the offer page says the offer has ended.</t>
        </is>
      </c>
      <c r="K116" s="11" t="inlineStr"/>
      <c r="L116" s="11" t="inlineStr">
        <is>
          <t>Not Run</t>
        </is>
      </c>
      <c r="M116" s="11" t="inlineStr">
        <is>
          <t>High</t>
        </is>
      </c>
      <c r="N116" s="11" t="inlineStr">
        <is>
          <t>Integration</t>
        </is>
      </c>
      <c r="O116" s="11" t="inlineStr"/>
      <c r="P116" s="11" t="inlineStr"/>
      <c r="Q116" s="11" t="inlineStr"/>
      <c r="R116" s="11" t="inlineStr"/>
      <c r="S116" s="11" t="inlineStr">
        <is>
          <t>Store owner</t>
        </is>
      </c>
      <c r="T116" s="11" t="inlineStr">
        <is>
          <t>No</t>
        </is>
      </c>
      <c r="U116" s="11" t="inlineStr">
        <is>
          <t>docs/qa/regression/vendor-cms/VC-14-schemes.md</t>
        </is>
      </c>
    </row>
    <row r="117">
      <c r="A117" s="11" t="inlineStr">
        <is>
          <t>VC-14-008</t>
        </is>
      </c>
      <c r="B117" s="11" t="inlineStr">
        <is>
          <t>Vendor CMS</t>
        </is>
      </c>
      <c r="C117" s="11" t="inlineStr">
        <is>
          <t>VC-14 · Schemes and offers</t>
        </is>
      </c>
      <c r="D117" s="11" t="inlineStr">
        <is>
          <t>Permissions</t>
        </is>
      </c>
      <c r="E117" s="11" t="inlineStr">
        <is>
          <t>Order manager read-only</t>
        </is>
      </c>
      <c r="F117" s="11" t="inlineStr">
        <is>
          <t>Order managers see schemes without buttons.</t>
        </is>
      </c>
      <c r="G117" s="11" t="inlineStr">
        <is>
          <t>Signed in as Order manager</t>
        </is>
      </c>
      <c r="H117" s="11" t="inlineStr">
        <is>
          <t>—</t>
        </is>
      </c>
      <c r="I117" s="11" t="inlineStr">
        <is>
          <t>1. Open Schemes and offers
2. Verify the expected result.</t>
        </is>
      </c>
      <c r="J117" s="11" t="inlineStr">
        <is>
          <t>The list shows without create or edit actions.</t>
        </is>
      </c>
      <c r="K117" s="11" t="inlineStr"/>
      <c r="L117" s="11" t="inlineStr">
        <is>
          <t>Not Run</t>
        </is>
      </c>
      <c r="M117" s="11" t="inlineStr">
        <is>
          <t>Medium</t>
        </is>
      </c>
      <c r="N117" s="11" t="inlineStr">
        <is>
          <t>Security/Permissions</t>
        </is>
      </c>
      <c r="O117" s="11" t="inlineStr"/>
      <c r="P117" s="11" t="inlineStr"/>
      <c r="Q117" s="11" t="inlineStr"/>
      <c r="R117" s="11" t="inlineStr"/>
      <c r="S117" s="11" t="inlineStr">
        <is>
          <t>Order manager</t>
        </is>
      </c>
      <c r="T117" s="11" t="inlineStr">
        <is>
          <t>No</t>
        </is>
      </c>
      <c r="U117" s="11" t="inlineStr">
        <is>
          <t>docs/qa/regression/vendor-cms/VC-14-schemes.md</t>
        </is>
      </c>
    </row>
    <row r="118">
      <c r="A118" s="11" t="inlineStr">
        <is>
          <t>VC-15-001</t>
        </is>
      </c>
      <c r="B118" s="11" t="inlineStr">
        <is>
          <t>Vendor CMS</t>
        </is>
      </c>
      <c r="C118" s="11" t="inlineStr">
        <is>
          <t>VC-15 · Coupons</t>
        </is>
      </c>
      <c r="D118" s="11" t="inlineStr">
        <is>
          <t>Create</t>
        </is>
      </c>
      <c r="E118" s="11" t="inlineStr">
        <is>
          <t>New coupon</t>
        </is>
      </c>
      <c r="F118" s="11" t="inlineStr">
        <is>
          <t>A coupon saves with its rule.</t>
        </is>
      </c>
      <c r="G118" s="11" t="inlineStr">
        <is>
          <t>Signed in as Home Orbit's owner (or super admin with Manage store on Home Orbit); store selling: `pnpm demo:selling home-orbit` run</t>
        </is>
      </c>
      <c r="H118" s="11" t="inlineStr">
        <is>
          <t>HOME200, Amount off 200, Minimum order 1000, show at the cart and Offers page</t>
        </is>
      </c>
      <c r="I118" s="11" t="inlineStr">
        <is>
          <t>1. Open Marketing → Coupons → + New coupon
2. Fill and Save
3. Verify the expected result.</t>
        </is>
      </c>
      <c r="J118" s="11" t="inlineStr">
        <is>
          <t>Listed as active and public.</t>
        </is>
      </c>
      <c r="K118" s="11" t="inlineStr"/>
      <c r="L118" s="11" t="inlineStr">
        <is>
          <t>Not Run</t>
        </is>
      </c>
      <c r="M118" s="11" t="inlineStr">
        <is>
          <t>High</t>
        </is>
      </c>
      <c r="N118" s="11" t="inlineStr">
        <is>
          <t>Functional</t>
        </is>
      </c>
      <c r="O118" s="11" t="inlineStr"/>
      <c r="P118" s="11" t="inlineStr"/>
      <c r="Q118" s="11" t="inlineStr"/>
      <c r="R118" s="11" t="inlineStr"/>
      <c r="S118" s="11" t="inlineStr">
        <is>
          <t>Store owner</t>
        </is>
      </c>
      <c r="T118" s="11" t="inlineStr">
        <is>
          <t>Yes</t>
        </is>
      </c>
      <c r="U118" s="11" t="inlineStr">
        <is>
          <t>docs/qa/regression/vendor-cms/VC-15-coupons.md</t>
        </is>
      </c>
    </row>
    <row r="119">
      <c r="A119" s="11" t="inlineStr">
        <is>
          <t>VC-15-002</t>
        </is>
      </c>
      <c r="B119" s="11" t="inlineStr">
        <is>
          <t>Vendor CMS</t>
        </is>
      </c>
      <c r="C119" s="11" t="inlineStr">
        <is>
          <t>VC-15 · Coupons</t>
        </is>
      </c>
      <c r="D119" s="11" t="inlineStr">
        <is>
          <t>Create</t>
        </is>
      </c>
      <c r="E119" s="11" t="inlineStr">
        <is>
          <t>Duplicate code</t>
        </is>
      </c>
      <c r="F119" s="11" t="inlineStr">
        <is>
          <t>A code already used in the store is refused.</t>
        </is>
      </c>
      <c r="G119" s="11" t="inlineStr">
        <is>
          <t>HOME200 exists</t>
        </is>
      </c>
      <c r="H119" s="11" t="inlineStr">
        <is>
          <t>HOME200 again</t>
        </is>
      </c>
      <c r="I119" s="11" t="inlineStr">
        <is>
          <t>1. Create another coupon HOME200
2. Verify the expected result.</t>
        </is>
      </c>
      <c r="J119" s="11" t="inlineStr">
        <is>
          <t>Refused as already used.</t>
        </is>
      </c>
      <c r="K119" s="11" t="inlineStr"/>
      <c r="L119" s="11" t="inlineStr">
        <is>
          <t>Not Run</t>
        </is>
      </c>
      <c r="M119" s="11" t="inlineStr">
        <is>
          <t>High</t>
        </is>
      </c>
      <c r="N119" s="11" t="inlineStr">
        <is>
          <t>Validation</t>
        </is>
      </c>
      <c r="O119" s="11" t="inlineStr"/>
      <c r="P119" s="11" t="inlineStr"/>
      <c r="Q119" s="11" t="inlineStr"/>
      <c r="R119" s="11" t="inlineStr"/>
      <c r="S119" s="11" t="inlineStr">
        <is>
          <t>Store owner</t>
        </is>
      </c>
      <c r="T119" s="11" t="inlineStr">
        <is>
          <t>No</t>
        </is>
      </c>
      <c r="U119" s="11" t="inlineStr">
        <is>
          <t>docs/qa/regression/vendor-cms/VC-15-coupons.md</t>
        </is>
      </c>
    </row>
    <row r="120">
      <c r="A120" s="11" t="inlineStr">
        <is>
          <t>VC-15-003</t>
        </is>
      </c>
      <c r="B120" s="11" t="inlineStr">
        <is>
          <t>Vendor CMS</t>
        </is>
      </c>
      <c r="C120" s="11" t="inlineStr">
        <is>
          <t>VC-15 · Coupons</t>
        </is>
      </c>
      <c r="D120" s="11" t="inlineStr">
        <is>
          <t>Cart</t>
        </is>
      </c>
      <c r="E120" s="11" t="inlineStr">
        <is>
          <t>Invalid code in the cart</t>
        </is>
      </c>
      <c r="F120" s="11" t="inlineStr">
        <is>
          <t>An unknown code is refused with a reason.</t>
        </is>
      </c>
      <c r="G120" s="11" t="inlineStr">
        <is>
          <t>Items in the cart</t>
        </is>
      </c>
      <c r="H120" s="11" t="inlineStr">
        <is>
          <t>Code "nope"</t>
        </is>
      </c>
      <c r="I120" s="11" t="inlineStr">
        <is>
          <t>1. Type nope in the cart coupon box
2. Apply
3. Verify the expected result.</t>
        </is>
      </c>
      <c r="J120" s="11" t="inlineStr">
        <is>
          <t>"This code isn't valid in this store."</t>
        </is>
      </c>
      <c r="K120" s="11" t="inlineStr"/>
      <c r="L120" s="11" t="inlineStr">
        <is>
          <t>Not Run</t>
        </is>
      </c>
      <c r="M120" s="11" t="inlineStr">
        <is>
          <t>High</t>
        </is>
      </c>
      <c r="N120" s="11" t="inlineStr">
        <is>
          <t>Negative</t>
        </is>
      </c>
      <c r="O120" s="11" t="inlineStr"/>
      <c r="P120" s="11" t="inlineStr"/>
      <c r="Q120" s="11" t="inlineStr"/>
      <c r="R120" s="11" t="inlineStr"/>
      <c r="S120" s="11" t="inlineStr">
        <is>
          <t>Shopper</t>
        </is>
      </c>
      <c r="T120" s="11" t="inlineStr">
        <is>
          <t>No</t>
        </is>
      </c>
      <c r="U120" s="11" t="inlineStr">
        <is>
          <t>docs/qa/regression/vendor-cms/VC-15-coupons.md</t>
        </is>
      </c>
    </row>
    <row r="121">
      <c r="A121" s="11" t="inlineStr">
        <is>
          <t>VC-15-004</t>
        </is>
      </c>
      <c r="B121" s="11" t="inlineStr">
        <is>
          <t>Vendor CMS</t>
        </is>
      </c>
      <c r="C121" s="11" t="inlineStr">
        <is>
          <t>VC-15 · Coupons</t>
        </is>
      </c>
      <c r="D121" s="11" t="inlineStr">
        <is>
          <t>Cart</t>
        </is>
      </c>
      <c r="E121" s="11" t="inlineStr">
        <is>
          <t>Minimum order</t>
        </is>
      </c>
      <c r="F121" s="11" t="inlineStr">
        <is>
          <t>Below the minimum the cart says how much more.</t>
        </is>
      </c>
      <c r="G121" s="11" t="inlineStr">
        <is>
          <t>Cart below ₹1,000</t>
        </is>
      </c>
      <c r="H121" s="11" t="inlineStr">
        <is>
          <t>HOME200</t>
        </is>
      </c>
      <c r="I121" s="11" t="inlineStr">
        <is>
          <t>1. Read the HOME200 card in the cart
2. Add items past ₹1,000
3. Apply
4. Verify the expected result.</t>
        </is>
      </c>
      <c r="J121" s="11" t="inlineStr">
        <is>
          <t>"Add ₹… more" until the cart passes ₹1,000; then it applies and the total drops by ₹200.</t>
        </is>
      </c>
      <c r="K121" s="11" t="inlineStr"/>
      <c r="L121" s="11" t="inlineStr">
        <is>
          <t>Not Run</t>
        </is>
      </c>
      <c r="M121" s="11" t="inlineStr">
        <is>
          <t>Critical</t>
        </is>
      </c>
      <c r="N121" s="11" t="inlineStr">
        <is>
          <t>Boundary</t>
        </is>
      </c>
      <c r="O121" s="11" t="inlineStr"/>
      <c r="P121" s="11" t="inlineStr"/>
      <c r="Q121" s="11" t="inlineStr"/>
      <c r="R121" s="11" t="inlineStr">
        <is>
          <t>Also: Integration</t>
        </is>
      </c>
      <c r="S121" s="11" t="inlineStr">
        <is>
          <t>Shopper</t>
        </is>
      </c>
      <c r="T121" s="11" t="inlineStr">
        <is>
          <t>No</t>
        </is>
      </c>
      <c r="U121" s="11" t="inlineStr">
        <is>
          <t>docs/qa/regression/vendor-cms/VC-15-coupons.md</t>
        </is>
      </c>
    </row>
    <row r="122">
      <c r="A122" s="11" t="inlineStr">
        <is>
          <t>VC-15-005</t>
        </is>
      </c>
      <c r="B122" s="11" t="inlineStr">
        <is>
          <t>Vendor CMS</t>
        </is>
      </c>
      <c r="C122" s="11" t="inlineStr">
        <is>
          <t>VC-15 · Coupons</t>
        </is>
      </c>
      <c r="D122" s="11" t="inlineStr">
        <is>
          <t>Cart</t>
        </is>
      </c>
      <c r="E122" s="11" t="inlineStr">
        <is>
          <t>Scheme and coupon together</t>
        </is>
      </c>
      <c r="F122" s="11" t="inlineStr">
        <is>
          <t>When a scheme does not combine with coupons, the cart says which it kept.</t>
        </is>
      </c>
      <c r="G122" s="11" t="inlineStr">
        <is>
          <t>Diwali live (not with coupons)</t>
        </is>
      </c>
      <c r="H122" s="11" t="inlineStr">
        <is>
          <t>HOME200</t>
        </is>
      </c>
      <c r="I122" s="11" t="inlineStr">
        <is>
          <t>1. Apply HOME200 with the scheme live
2. Verify the expected result.</t>
        </is>
      </c>
      <c r="J122" s="11" t="inlineStr">
        <is>
          <t>The cart keeps the better offer and says why.</t>
        </is>
      </c>
      <c r="K122" s="11" t="inlineStr"/>
      <c r="L122" s="11" t="inlineStr">
        <is>
          <t>Not Run</t>
        </is>
      </c>
      <c r="M122" s="11" t="inlineStr">
        <is>
          <t>High</t>
        </is>
      </c>
      <c r="N122" s="11" t="inlineStr">
        <is>
          <t>Integration</t>
        </is>
      </c>
      <c r="O122" s="11" t="inlineStr"/>
      <c r="P122" s="11" t="inlineStr"/>
      <c r="Q122" s="11" t="inlineStr"/>
      <c r="R122" s="11" t="inlineStr"/>
      <c r="S122" s="11" t="inlineStr">
        <is>
          <t>Shopper</t>
        </is>
      </c>
      <c r="T122" s="11" t="inlineStr">
        <is>
          <t>No</t>
        </is>
      </c>
      <c r="U122" s="11" t="inlineStr">
        <is>
          <t>docs/qa/regression/vendor-cms/VC-15-coupons.md</t>
        </is>
      </c>
    </row>
    <row r="123">
      <c r="A123" s="11" t="inlineStr">
        <is>
          <t>VC-15-006</t>
        </is>
      </c>
      <c r="B123" s="11" t="inlineStr">
        <is>
          <t>Vendor CMS</t>
        </is>
      </c>
      <c r="C123" s="11" t="inlineStr">
        <is>
          <t>VC-15 · Coupons</t>
        </is>
      </c>
      <c r="D123" s="11" t="inlineStr">
        <is>
          <t>Bulk</t>
        </is>
      </c>
      <c r="E123" s="11" t="inlineStr">
        <is>
          <t>Make bulk codes</t>
        </is>
      </c>
      <c r="F123" s="11" t="inlineStr">
        <is>
          <t>Bulk codes are created from a coupon.</t>
        </is>
      </c>
      <c r="G123" s="11" t="inlineStr">
        <is>
          <t>HOME200 exists</t>
        </is>
      </c>
      <c r="H123" s="11" t="inlineStr">
        <is>
          <t>Prefix WED, 5 codes</t>
        </is>
      </c>
      <c r="I123" s="11" t="inlineStr">
        <is>
          <t>1. Press Make bulk codes
2. Prefix WED, 5, based on HOME200
3. Verify the expected result.</t>
        </is>
      </c>
      <c r="J123" s="11" t="inlineStr">
        <is>
          <t>A CSV downloads (or arrives by email) and the list shows one "WED-••••••" row with "0 / 5".</t>
        </is>
      </c>
      <c r="K123" s="11" t="inlineStr"/>
      <c r="L123" s="11" t="inlineStr">
        <is>
          <t>Not Run</t>
        </is>
      </c>
      <c r="M123" s="11" t="inlineStr">
        <is>
          <t>Medium</t>
        </is>
      </c>
      <c r="N123" s="11" t="inlineStr">
        <is>
          <t>Functional</t>
        </is>
      </c>
      <c r="O123" s="11" t="inlineStr"/>
      <c r="P123" s="11" t="inlineStr"/>
      <c r="Q123" s="11" t="inlineStr"/>
      <c r="R123" s="11" t="inlineStr"/>
      <c r="S123" s="11" t="inlineStr">
        <is>
          <t>Store owner</t>
        </is>
      </c>
      <c r="T123" s="11" t="inlineStr">
        <is>
          <t>No</t>
        </is>
      </c>
      <c r="U123" s="11" t="inlineStr">
        <is>
          <t>docs/qa/regression/vendor-cms/VC-15-coupons.md</t>
        </is>
      </c>
    </row>
    <row r="124">
      <c r="A124" s="11" t="inlineStr">
        <is>
          <t>VC-15-007</t>
        </is>
      </c>
      <c r="B124" s="11" t="inlineStr">
        <is>
          <t>Vendor CMS</t>
        </is>
      </c>
      <c r="C124" s="11" t="inlineStr">
        <is>
          <t>VC-15 · Coupons</t>
        </is>
      </c>
      <c r="D124" s="11" t="inlineStr">
        <is>
          <t>Usage</t>
        </is>
      </c>
      <c r="E124" s="11" t="inlineStr">
        <is>
          <t>Usage limit</t>
        </is>
      </c>
      <c r="F124" s="11" t="inlineStr">
        <is>
          <t>A coupon past its usage limit stops working.</t>
        </is>
      </c>
      <c r="G124" s="11" t="inlineStr">
        <is>
          <t>A coupon with usage limit 1, used once</t>
        </is>
      </c>
      <c r="H124" s="11" t="inlineStr">
        <is>
          <t>—</t>
        </is>
      </c>
      <c r="I124" s="11" t="inlineStr">
        <is>
          <t>1. Apply it in a new cart
2. Verify the expected result.</t>
        </is>
      </c>
      <c r="J124" s="11" t="inlineStr">
        <is>
          <t>Refused as used up.</t>
        </is>
      </c>
      <c r="K124" s="11" t="inlineStr"/>
      <c r="L124" s="11" t="inlineStr">
        <is>
          <t>Not Run</t>
        </is>
      </c>
      <c r="M124" s="11" t="inlineStr">
        <is>
          <t>Medium</t>
        </is>
      </c>
      <c r="N124" s="11" t="inlineStr">
        <is>
          <t>Boundary</t>
        </is>
      </c>
      <c r="O124" s="11" t="inlineStr"/>
      <c r="P124" s="11" t="inlineStr"/>
      <c r="Q124" s="11" t="inlineStr"/>
      <c r="R124" s="11" t="inlineStr"/>
      <c r="S124" s="11" t="inlineStr">
        <is>
          <t>Store owner</t>
        </is>
      </c>
      <c r="T124" s="11" t="inlineStr">
        <is>
          <t>No</t>
        </is>
      </c>
      <c r="U124" s="11" t="inlineStr">
        <is>
          <t>docs/qa/regression/vendor-cms/VC-15-coupons.md</t>
        </is>
      </c>
    </row>
    <row r="125">
      <c r="A125" s="11" t="inlineStr">
        <is>
          <t>VC-16-001</t>
        </is>
      </c>
      <c r="B125" s="11" t="inlineStr">
        <is>
          <t>Vendor CMS</t>
        </is>
      </c>
      <c r="C125" s="11" t="inlineStr">
        <is>
          <t>VC-16 · Offer messages</t>
        </is>
      </c>
      <c r="D125" s="11" t="inlineStr">
        <is>
          <t>Create</t>
        </is>
      </c>
      <c r="E125" s="11" t="inlineStr">
        <is>
          <t>New message from a scheme</t>
        </is>
      </c>
      <c r="F125" s="11" t="inlineStr">
        <is>
          <t>Picking a scheme fills the message.</t>
        </is>
      </c>
      <c r="G125" s="11" t="inlineStr">
        <is>
          <t>Signed in as Home Orbit's owner (or super admin with Manage store on Home Orbit); store selling: `pnpm demo:selling home-orbit` run; a scheme exists</t>
        </is>
      </c>
      <c r="H125" s="11" t="inlineStr">
        <is>
          <t>—</t>
        </is>
      </c>
      <c r="I125" s="11" t="inlineStr">
        <is>
          <t>1. Open Marketing → Offer messages → + New message
2. Pick the scheme
3. Verify the expected result.</t>
        </is>
      </c>
      <c r="J125" s="11" t="inlineStr">
        <is>
          <t>Subject, headline and link fill in; Everyone who agreed to offers and Email selected; a line says how many get it.</t>
        </is>
      </c>
      <c r="K125" s="11" t="inlineStr"/>
      <c r="L125" s="11" t="inlineStr">
        <is>
          <t>Not Run</t>
        </is>
      </c>
      <c r="M125" s="11" t="inlineStr">
        <is>
          <t>Medium</t>
        </is>
      </c>
      <c r="N125" s="11" t="inlineStr">
        <is>
          <t>Functional</t>
        </is>
      </c>
      <c r="O125" s="11" t="inlineStr"/>
      <c r="P125" s="11" t="inlineStr"/>
      <c r="Q125" s="11" t="inlineStr"/>
      <c r="R125" s="11" t="inlineStr"/>
      <c r="S125" s="11" t="inlineStr">
        <is>
          <t>Store owner</t>
        </is>
      </c>
      <c r="T125" s="11" t="inlineStr">
        <is>
          <t>No</t>
        </is>
      </c>
      <c r="U125" s="11" t="inlineStr">
        <is>
          <t>docs/qa/regression/vendor-cms/VC-16-offer-messages.md</t>
        </is>
      </c>
    </row>
    <row r="126">
      <c r="A126" s="11" t="inlineStr">
        <is>
          <t>VC-16-002</t>
        </is>
      </c>
      <c r="B126" s="11" t="inlineStr">
        <is>
          <t>Vendor CMS</t>
        </is>
      </c>
      <c r="C126" s="11" t="inlineStr">
        <is>
          <t>VC-16 · Offer messages</t>
        </is>
      </c>
      <c r="D126" s="11" t="inlineStr">
        <is>
          <t>Test</t>
        </is>
      </c>
      <c r="E126" s="11" t="inlineStr">
        <is>
          <t>Send test to me</t>
        </is>
      </c>
      <c r="F126" s="11" t="inlineStr">
        <is>
          <t>A test email is sent to the staff member.</t>
        </is>
      </c>
      <c r="G126" s="11" t="inlineStr">
        <is>
          <t>A message draft</t>
        </is>
      </c>
      <c r="H126" s="11" t="inlineStr">
        <is>
          <t>—</t>
        </is>
      </c>
      <c r="I126" s="11" t="inlineStr">
        <is>
          <t>1. Press Send test to me
2. Wait a minute, watch the terminal
3. Verify the expected result.</t>
        </is>
      </c>
      <c r="J126" s="11" t="inlineStr">
        <is>
          <t>The email is printed in the `pnpm dev` terminal.</t>
        </is>
      </c>
      <c r="K126" s="11" t="inlineStr"/>
      <c r="L126" s="11" t="inlineStr">
        <is>
          <t>Not Run</t>
        </is>
      </c>
      <c r="M126" s="11" t="inlineStr">
        <is>
          <t>Medium</t>
        </is>
      </c>
      <c r="N126" s="11" t="inlineStr">
        <is>
          <t>Integration</t>
        </is>
      </c>
      <c r="O126" s="11" t="inlineStr"/>
      <c r="P126" s="11" t="inlineStr"/>
      <c r="Q126" s="11" t="inlineStr"/>
      <c r="R126" s="11" t="inlineStr"/>
      <c r="S126" s="11" t="inlineStr">
        <is>
          <t>Store owner</t>
        </is>
      </c>
      <c r="T126" s="11" t="inlineStr">
        <is>
          <t>No</t>
        </is>
      </c>
      <c r="U126" s="11" t="inlineStr">
        <is>
          <t>docs/qa/regression/vendor-cms/VC-16-offer-messages.md</t>
        </is>
      </c>
    </row>
    <row r="127">
      <c r="A127" s="11" t="inlineStr">
        <is>
          <t>VC-16-003</t>
        </is>
      </c>
      <c r="B127" s="11" t="inlineStr">
        <is>
          <t>Vendor CMS</t>
        </is>
      </c>
      <c r="C127" s="11" t="inlineStr">
        <is>
          <t>VC-16 · Offer messages</t>
        </is>
      </c>
      <c r="D127" s="11" t="inlineStr">
        <is>
          <t>Schedule</t>
        </is>
      </c>
      <c r="E127" s="11" t="inlineStr">
        <is>
          <t>Send window</t>
        </is>
      </c>
      <c r="F127" s="11" t="inlineStr">
        <is>
          <t>Scheduling outside 10:00–20:00 moves into the window.</t>
        </is>
      </c>
      <c r="G127" s="11" t="inlineStr">
        <is>
          <t>A message draft</t>
        </is>
      </c>
      <c r="H127" s="11" t="inlineStr">
        <is>
          <t>Schedule for 22:00</t>
        </is>
      </c>
      <c r="I127" s="11" t="inlineStr">
        <is>
          <t>1. Schedule for 22:00
2. Verify the expected result.</t>
        </is>
      </c>
      <c r="J127" s="11" t="inlineStr">
        <is>
          <t>The time moves to the next 10:00; at send time each opted-in shopper gets one email with an unsubscribe link.</t>
        </is>
      </c>
      <c r="K127" s="11" t="inlineStr"/>
      <c r="L127" s="11" t="inlineStr">
        <is>
          <t>Not Run</t>
        </is>
      </c>
      <c r="M127" s="11" t="inlineStr">
        <is>
          <t>Medium</t>
        </is>
      </c>
      <c r="N127" s="11" t="inlineStr">
        <is>
          <t>Boundary</t>
        </is>
      </c>
      <c r="O127" s="11" t="inlineStr"/>
      <c r="P127" s="11" t="inlineStr"/>
      <c r="Q127" s="11" t="inlineStr"/>
      <c r="R127" s="11" t="inlineStr"/>
      <c r="S127" s="11" t="inlineStr">
        <is>
          <t>Store owner</t>
        </is>
      </c>
      <c r="T127" s="11" t="inlineStr">
        <is>
          <t>No</t>
        </is>
      </c>
      <c r="U127" s="11" t="inlineStr">
        <is>
          <t>docs/qa/regression/vendor-cms/VC-16-offer-messages.md</t>
        </is>
      </c>
    </row>
    <row r="128">
      <c r="A128" s="11" t="inlineStr">
        <is>
          <t>VC-16-004</t>
        </is>
      </c>
      <c r="B128" s="11" t="inlineStr">
        <is>
          <t>Vendor CMS</t>
        </is>
      </c>
      <c r="C128" s="11" t="inlineStr">
        <is>
          <t>VC-16 · Offer messages</t>
        </is>
      </c>
      <c r="D128" s="11" t="inlineStr">
        <is>
          <t>Consent</t>
        </is>
      </c>
      <c r="E128" s="11" t="inlineStr">
        <is>
          <t>Only opted-in shoppers</t>
        </is>
      </c>
      <c r="F128" s="11" t="inlineStr">
        <is>
          <t>Shoppers without consent never get offers.</t>
        </is>
      </c>
      <c r="G128" s="11" t="inlineStr">
        <is>
          <t>Two shoppers: one opted in, one not</t>
        </is>
      </c>
      <c r="H128" s="11" t="inlineStr">
        <is>
          <t>—</t>
        </is>
      </c>
      <c r="I128" s="11" t="inlineStr">
        <is>
          <t>1. Send a message to Everyone who agreed
2. Read the terminal
3. Verify the expected result.</t>
        </is>
      </c>
      <c r="J128" s="11" t="inlineStr">
        <is>
          <t>Only the opted-in shopper gets it.</t>
        </is>
      </c>
      <c r="K128" s="11" t="inlineStr"/>
      <c r="L128" s="11" t="inlineStr">
        <is>
          <t>Not Run</t>
        </is>
      </c>
      <c r="M128" s="11" t="inlineStr">
        <is>
          <t>Critical</t>
        </is>
      </c>
      <c r="N128" s="11" t="inlineStr">
        <is>
          <t>Security/Permissions</t>
        </is>
      </c>
      <c r="O128" s="11" t="inlineStr"/>
      <c r="P128" s="11" t="inlineStr"/>
      <c r="Q128" s="11" t="inlineStr"/>
      <c r="R128" s="11" t="inlineStr"/>
      <c r="S128" s="11" t="inlineStr">
        <is>
          <t>Store owner</t>
        </is>
      </c>
      <c r="T128" s="11" t="inlineStr">
        <is>
          <t>No</t>
        </is>
      </c>
      <c r="U128" s="11" t="inlineStr">
        <is>
          <t>docs/qa/regression/vendor-cms/VC-16-offer-messages.md</t>
        </is>
      </c>
    </row>
    <row r="129">
      <c r="A129" s="11" t="inlineStr">
        <is>
          <t>VC-17-001</t>
        </is>
      </c>
      <c r="B129" s="11" t="inlineStr">
        <is>
          <t>Vendor CMS</t>
        </is>
      </c>
      <c r="C129" s="11" t="inlineStr">
        <is>
          <t>VC-17 · Abandoned carts</t>
        </is>
      </c>
      <c r="D129" s="11" t="inlineStr">
        <is>
          <t>Reminders</t>
        </is>
      </c>
      <c r="E129" s="11" t="inlineStr">
        <is>
          <t>First reminder</t>
        </is>
      </c>
      <c r="F129" s="11" t="inlineStr">
        <is>
          <t>A left cart with consent gets a reminder.</t>
        </is>
      </c>
      <c r="G129" s="11" t="inlineStr">
        <is>
          <t>Cart left with offers ticked at checkout, after the First reminder delay</t>
        </is>
      </c>
      <c r="H129" s="11" t="inlineStr">
        <is>
          <t>—</t>
        </is>
      </c>
      <c r="I129" s="11" t="inlineStr">
        <is>
          <t>1. Wait the delay (1 hour by default) plus 5 minutes
2. Open Marketing → Abandoned carts
3. Verify the expected result.</t>
        </is>
      </c>
      <c r="J129" s="11" t="inlineStr">
        <is>
          <t>The cart shows "1st sent · email"; the reminder prints in the terminal (inside the send window).</t>
        </is>
      </c>
      <c r="K129" s="11" t="inlineStr"/>
      <c r="L129" s="11" t="inlineStr">
        <is>
          <t>Not Run</t>
        </is>
      </c>
      <c r="M129" s="11" t="inlineStr">
        <is>
          <t>High</t>
        </is>
      </c>
      <c r="N129" s="11" t="inlineStr">
        <is>
          <t>Integration</t>
        </is>
      </c>
      <c r="O129" s="11" t="inlineStr"/>
      <c r="P129" s="11" t="inlineStr"/>
      <c r="Q129" s="11" t="inlineStr"/>
      <c r="R129" s="11" t="inlineStr"/>
      <c r="S129" s="11" t="inlineStr">
        <is>
          <t>Store owner</t>
        </is>
      </c>
      <c r="T129" s="11" t="inlineStr">
        <is>
          <t>No</t>
        </is>
      </c>
      <c r="U129" s="11" t="inlineStr">
        <is>
          <t>docs/qa/regression/vendor-cms/VC-17-abandoned-carts.md</t>
        </is>
      </c>
    </row>
    <row r="130">
      <c r="A130" s="11" t="inlineStr">
        <is>
          <t>VC-17-002</t>
        </is>
      </c>
      <c r="B130" s="11" t="inlineStr">
        <is>
          <t>Vendor CMS</t>
        </is>
      </c>
      <c r="C130" s="11" t="inlineStr">
        <is>
          <t>VC-17 · Abandoned carts</t>
        </is>
      </c>
      <c r="D130" s="11" t="inlineStr">
        <is>
          <t>Reminders</t>
        </is>
      </c>
      <c r="E130" s="11" t="inlineStr">
        <is>
          <t>No consent, no reminder</t>
        </is>
      </c>
      <c r="F130" s="11" t="inlineStr">
        <is>
          <t>A cart without consent is not reminded.</t>
        </is>
      </c>
      <c r="G130" s="11" t="inlineStr">
        <is>
          <t>Cart left without ticking offers</t>
        </is>
      </c>
      <c r="H130" s="11" t="inlineStr">
        <is>
          <t>—</t>
        </is>
      </c>
      <c r="I130" s="11" t="inlineStr">
        <is>
          <t>1. Open Abandoned carts after the delay
2. Verify the expected result.</t>
        </is>
      </c>
      <c r="J130" s="11" t="inlineStr">
        <is>
          <t>"Not reminded: no offer consent".</t>
        </is>
      </c>
      <c r="K130" s="11" t="inlineStr"/>
      <c r="L130" s="11" t="inlineStr">
        <is>
          <t>Not Run</t>
        </is>
      </c>
      <c r="M130" s="11" t="inlineStr">
        <is>
          <t>High</t>
        </is>
      </c>
      <c r="N130" s="11" t="inlineStr">
        <is>
          <t>Security/Permissions</t>
        </is>
      </c>
      <c r="O130" s="11" t="inlineStr"/>
      <c r="P130" s="11" t="inlineStr"/>
      <c r="Q130" s="11" t="inlineStr"/>
      <c r="R130" s="11" t="inlineStr"/>
      <c r="S130" s="11" t="inlineStr">
        <is>
          <t>Store owner</t>
        </is>
      </c>
      <c r="T130" s="11" t="inlineStr">
        <is>
          <t>No</t>
        </is>
      </c>
      <c r="U130" s="11" t="inlineStr">
        <is>
          <t>docs/qa/regression/vendor-cms/VC-17-abandoned-carts.md</t>
        </is>
      </c>
    </row>
    <row r="131">
      <c r="A131" s="11" t="inlineStr">
        <is>
          <t>VC-17-003</t>
        </is>
      </c>
      <c r="B131" s="11" t="inlineStr">
        <is>
          <t>Vendor CMS</t>
        </is>
      </c>
      <c r="C131" s="11" t="inlineStr">
        <is>
          <t>VC-17 · Abandoned carts</t>
        </is>
      </c>
      <c r="D131" s="11" t="inlineStr">
        <is>
          <t>Restore</t>
        </is>
      </c>
      <c r="E131" s="11" t="inlineStr">
        <is>
          <t>Return to your cart</t>
        </is>
      </c>
      <c r="F131" s="11" t="inlineStr">
        <is>
          <t>The reminder link restores the cart anywhere.</t>
        </is>
      </c>
      <c r="G131" s="11" t="inlineStr">
        <is>
          <t>A reminder email</t>
        </is>
      </c>
      <c r="H131" s="11" t="inlineStr">
        <is>
          <t>—</t>
        </is>
      </c>
      <c r="I131" s="11" t="inlineStr">
        <is>
          <t>1. Open Return to your cart in another browser
2. Verify the expected result.</t>
        </is>
      </c>
      <c r="J131" s="11" t="inlineStr">
        <is>
          <t>The same cart opens with prices worked out again.</t>
        </is>
      </c>
      <c r="K131" s="11" t="inlineStr"/>
      <c r="L131" s="11" t="inlineStr">
        <is>
          <t>Not Run</t>
        </is>
      </c>
      <c r="M131" s="11" t="inlineStr">
        <is>
          <t>Medium</t>
        </is>
      </c>
      <c r="N131" s="11" t="inlineStr">
        <is>
          <t>Integration</t>
        </is>
      </c>
      <c r="O131" s="11" t="inlineStr"/>
      <c r="P131" s="11" t="inlineStr"/>
      <c r="Q131" s="11" t="inlineStr"/>
      <c r="R131" s="11" t="inlineStr"/>
      <c r="S131" s="11" t="inlineStr">
        <is>
          <t>Shopper</t>
        </is>
      </c>
      <c r="T131" s="11" t="inlineStr">
        <is>
          <t>No</t>
        </is>
      </c>
      <c r="U131" s="11" t="inlineStr">
        <is>
          <t>docs/qa/regression/vendor-cms/VC-17-abandoned-carts.md</t>
        </is>
      </c>
    </row>
    <row r="132">
      <c r="A132" s="11" t="inlineStr">
        <is>
          <t>VC-17-004</t>
        </is>
      </c>
      <c r="B132" s="11" t="inlineStr">
        <is>
          <t>Vendor CMS</t>
        </is>
      </c>
      <c r="C132" s="11" t="inlineStr">
        <is>
          <t>VC-17 · Abandoned carts</t>
        </is>
      </c>
      <c r="D132" s="11" t="inlineStr">
        <is>
          <t>Settings</t>
        </is>
      </c>
      <c r="E132" s="11" t="inlineStr">
        <is>
          <t>Second reminder with coupon</t>
        </is>
      </c>
      <c r="F132" s="11" t="inlineStr">
        <is>
          <t>The second reminder can carry a coupon.</t>
        </is>
      </c>
      <c r="G132" s="11" t="inlineStr">
        <is>
          <t>Signed in as Home Orbit's owner (or super admin with Manage store on Home Orbit); store selling: `pnpm demo:selling home-orbit` run</t>
        </is>
      </c>
      <c r="H132" s="11" t="inlineStr">
        <is>
          <t>Tick Send a second reminder; coupon HOME200</t>
        </is>
      </c>
      <c r="I132" s="11" t="inlineStr">
        <is>
          <t>1. On Reminders tick the second reminder, pick the coupon
2. Save reminders
3. Verify the expected result.</t>
        </is>
      </c>
      <c r="J132" s="11" t="inlineStr">
        <is>
          <t>Saved; the second reminder carries HOME200.</t>
        </is>
      </c>
      <c r="K132" s="11" t="inlineStr"/>
      <c r="L132" s="11" t="inlineStr">
        <is>
          <t>Not Run</t>
        </is>
      </c>
      <c r="M132" s="11" t="inlineStr">
        <is>
          <t>Low</t>
        </is>
      </c>
      <c r="N132" s="11" t="inlineStr">
        <is>
          <t>Functional</t>
        </is>
      </c>
      <c r="O132" s="11" t="inlineStr"/>
      <c r="P132" s="11" t="inlineStr"/>
      <c r="Q132" s="11" t="inlineStr"/>
      <c r="R132" s="11" t="inlineStr"/>
      <c r="S132" s="11" t="inlineStr">
        <is>
          <t>Store owner</t>
        </is>
      </c>
      <c r="T132" s="11" t="inlineStr">
        <is>
          <t>No</t>
        </is>
      </c>
      <c r="U132" s="11" t="inlineStr">
        <is>
          <t>docs/qa/regression/vendor-cms/VC-17-abandoned-carts.md</t>
        </is>
      </c>
    </row>
    <row r="133">
      <c r="A133" s="11" t="inlineStr">
        <is>
          <t>VC-18-001</t>
        </is>
      </c>
      <c r="B133" s="11" t="inlineStr">
        <is>
          <t>Vendor CMS</t>
        </is>
      </c>
      <c r="C133" s="11" t="inlineStr">
        <is>
          <t>VC-18 · Affiliates</t>
        </is>
      </c>
      <c r="D133" s="11" t="inlineStr">
        <is>
          <t>Applications</t>
        </is>
      </c>
      <c r="E133" s="11" t="inlineStr">
        <is>
          <t>Approve</t>
        </is>
      </c>
      <c r="F133" s="11" t="inlineStr">
        <is>
          <t>Approving an application sends the welcome email.</t>
        </is>
      </c>
      <c r="G133" s="11" t="inlineStr">
        <is>
          <t>An application from /affiliate</t>
        </is>
      </c>
      <c r="H133" s="11" t="inlineStr">
        <is>
          <t>—</t>
        </is>
      </c>
      <c r="I133" s="11" t="inlineStr">
        <is>
          <t>1. Open Marketing → Affiliates → Applications
2. Press Approve
3. Verify the expected result.</t>
        </is>
      </c>
      <c r="J133" s="11" t="inlineStr">
        <is>
          <t>The affiliate is active; the welcome email with the link prints in the terminal.</t>
        </is>
      </c>
      <c r="K133" s="11" t="inlineStr"/>
      <c r="L133" s="11" t="inlineStr">
        <is>
          <t>Not Run</t>
        </is>
      </c>
      <c r="M133" s="11" t="inlineStr">
        <is>
          <t>High</t>
        </is>
      </c>
      <c r="N133" s="11" t="inlineStr">
        <is>
          <t>Functional</t>
        </is>
      </c>
      <c r="O133" s="11" t="inlineStr"/>
      <c r="P133" s="11" t="inlineStr"/>
      <c r="Q133" s="11" t="inlineStr"/>
      <c r="R133" s="11" t="inlineStr"/>
      <c r="S133" s="11" t="inlineStr">
        <is>
          <t>Store owner</t>
        </is>
      </c>
      <c r="T133" s="11" t="inlineStr">
        <is>
          <t>No</t>
        </is>
      </c>
      <c r="U133" s="11" t="inlineStr">
        <is>
          <t>docs/qa/regression/vendor-cms/VC-18-affiliates.md</t>
        </is>
      </c>
    </row>
    <row r="134">
      <c r="A134" s="11" t="inlineStr">
        <is>
          <t>VC-18-002</t>
        </is>
      </c>
      <c r="B134" s="11" t="inlineStr">
        <is>
          <t>Vendor CMS</t>
        </is>
      </c>
      <c r="C134" s="11" t="inlineStr">
        <is>
          <t>VC-18 · Affiliates</t>
        </is>
      </c>
      <c r="D134" s="11" t="inlineStr">
        <is>
          <t>Applications</t>
        </is>
      </c>
      <c r="E134" s="11" t="inlineStr">
        <is>
          <t>Reject needs a reason</t>
        </is>
      </c>
      <c r="F134" s="11" t="inlineStr">
        <is>
          <t>Rejecting asks for a reason.</t>
        </is>
      </c>
      <c r="G134" s="11" t="inlineStr">
        <is>
          <t>An application</t>
        </is>
      </c>
      <c r="H134" s="11" t="inlineStr">
        <is>
          <t>Reason "Audience does not match"</t>
        </is>
      </c>
      <c r="I134" s="11" t="inlineStr">
        <is>
          <t>1. Press Reject
2. Confirm without, then with a reason
3. Verify the expected result.</t>
        </is>
      </c>
      <c r="J134" s="11" t="inlineStr">
        <is>
          <t>The reason is required; the applicant sees the outcome.</t>
        </is>
      </c>
      <c r="K134" s="11" t="inlineStr"/>
      <c r="L134" s="11" t="inlineStr">
        <is>
          <t>Not Run</t>
        </is>
      </c>
      <c r="M134" s="11" t="inlineStr">
        <is>
          <t>Medium</t>
        </is>
      </c>
      <c r="N134" s="11" t="inlineStr">
        <is>
          <t>Validation</t>
        </is>
      </c>
      <c r="O134" s="11" t="inlineStr"/>
      <c r="P134" s="11" t="inlineStr"/>
      <c r="Q134" s="11" t="inlineStr"/>
      <c r="R134" s="11" t="inlineStr"/>
      <c r="S134" s="11" t="inlineStr">
        <is>
          <t>Store owner</t>
        </is>
      </c>
      <c r="T134" s="11" t="inlineStr">
        <is>
          <t>No</t>
        </is>
      </c>
      <c r="U134" s="11" t="inlineStr">
        <is>
          <t>docs/qa/regression/vendor-cms/VC-18-affiliates.md</t>
        </is>
      </c>
    </row>
    <row r="135">
      <c r="A135" s="11" t="inlineStr">
        <is>
          <t>VC-18-003</t>
        </is>
      </c>
      <c r="B135" s="11" t="inlineStr">
        <is>
          <t>Vendor CMS</t>
        </is>
      </c>
      <c r="C135" s="11" t="inlineStr">
        <is>
          <t>VC-18 · Affiliates</t>
        </is>
      </c>
      <c r="D135" s="11" t="inlineStr">
        <is>
          <t>Commission</t>
        </is>
      </c>
      <c r="E135" s="11" t="inlineStr">
        <is>
          <t>Referral order earns pending commission</t>
        </is>
      </c>
      <c r="F135" s="11" t="inlineStr">
        <is>
          <t>An order through the link is credited.</t>
        </is>
      </c>
      <c r="G135" s="11" t="inlineStr">
        <is>
          <t>An approved affiliate with code</t>
        </is>
      </c>
      <c r="H135" s="11" t="inlineStr">
        <is>
          <t>/r/&lt;CODE&gt;?to=/products/&lt;slug&gt;, COD order with another email</t>
        </is>
      </c>
      <c r="I135" s="11" t="inlineStr">
        <is>
          <t>1. Open the referral link in another browser
2. Place a COD order
3. Verify the expected result.</t>
        </is>
      </c>
      <c r="J135" s="11" t="inlineStr">
        <is>
          <t>The affiliate's row shows 1 order and the commission pending (rate on the order before GST and delivery); own orders never earn.</t>
        </is>
      </c>
      <c r="K135" s="11" t="inlineStr"/>
      <c r="L135" s="11" t="inlineStr">
        <is>
          <t>Not Run</t>
        </is>
      </c>
      <c r="M135" s="11" t="inlineStr">
        <is>
          <t>High</t>
        </is>
      </c>
      <c r="N135" s="11" t="inlineStr">
        <is>
          <t>Integration</t>
        </is>
      </c>
      <c r="O135" s="11" t="inlineStr"/>
      <c r="P135" s="11" t="inlineStr"/>
      <c r="Q135" s="11" t="inlineStr"/>
      <c r="R135" s="11" t="inlineStr"/>
      <c r="S135" s="11" t="inlineStr">
        <is>
          <t>Store owner</t>
        </is>
      </c>
      <c r="T135" s="11" t="inlineStr">
        <is>
          <t>No</t>
        </is>
      </c>
      <c r="U135" s="11" t="inlineStr">
        <is>
          <t>docs/qa/regression/vendor-cms/VC-18-affiliates.md</t>
        </is>
      </c>
    </row>
    <row r="136">
      <c r="A136" s="11" t="inlineStr">
        <is>
          <t>VC-18-004</t>
        </is>
      </c>
      <c r="B136" s="11" t="inlineStr">
        <is>
          <t>Vendor CMS</t>
        </is>
      </c>
      <c r="C136" s="11" t="inlineStr">
        <is>
          <t>VC-18 · Affiliates</t>
        </is>
      </c>
      <c r="D136" s="11" t="inlineStr">
        <is>
          <t>Rates</t>
        </is>
      </c>
      <c r="E136" s="11" t="inlineStr">
        <is>
          <t>Change rate</t>
        </is>
      </c>
      <c r="F136" s="11" t="inlineStr">
        <is>
          <t>Rates and a category rate save.</t>
        </is>
      </c>
      <c r="G136" s="11" t="inlineStr">
        <is>
          <t>An approved affiliate</t>
        </is>
      </c>
      <c r="H136" s="11" t="inlineStr">
        <is>
          <t>Rate 7%; category rate 10% for Key hangers</t>
        </is>
      </c>
      <c r="I136" s="11" t="inlineStr">
        <is>
          <t>1. Press Change rate, set both
2. Save
3. Verify the expected result.</t>
        </is>
      </c>
      <c r="J136" s="11" t="inlineStr">
        <is>
          <t>Saved and shown on the affiliate.</t>
        </is>
      </c>
      <c r="K136" s="11" t="inlineStr"/>
      <c r="L136" s="11" t="inlineStr">
        <is>
          <t>Not Run</t>
        </is>
      </c>
      <c r="M136" s="11" t="inlineStr">
        <is>
          <t>Low</t>
        </is>
      </c>
      <c r="N136" s="11" t="inlineStr">
        <is>
          <t>Functional</t>
        </is>
      </c>
      <c r="O136" s="11" t="inlineStr"/>
      <c r="P136" s="11" t="inlineStr"/>
      <c r="Q136" s="11" t="inlineStr"/>
      <c r="R136" s="11" t="inlineStr"/>
      <c r="S136" s="11" t="inlineStr">
        <is>
          <t>Store owner</t>
        </is>
      </c>
      <c r="T136" s="11" t="inlineStr">
        <is>
          <t>No</t>
        </is>
      </c>
      <c r="U136" s="11" t="inlineStr">
        <is>
          <t>docs/qa/regression/vendor-cms/VC-18-affiliates.md</t>
        </is>
      </c>
    </row>
    <row r="137">
      <c r="A137" s="11" t="inlineStr">
        <is>
          <t>VC-18-005</t>
        </is>
      </c>
      <c r="B137" s="11" t="inlineStr">
        <is>
          <t>Vendor CMS</t>
        </is>
      </c>
      <c r="C137" s="11" t="inlineStr">
        <is>
          <t>VC-18 · Affiliates</t>
        </is>
      </c>
      <c r="D137" s="11" t="inlineStr">
        <is>
          <t>Payouts</t>
        </is>
      </c>
      <c r="E137" s="11" t="inlineStr">
        <is>
          <t>Record payout (owner only)</t>
        </is>
      </c>
      <c r="F137" s="11" t="inlineStr">
        <is>
          <t>Payouts need approved commission above the minimum.</t>
        </is>
      </c>
      <c r="G137" s="11" t="inlineStr">
        <is>
          <t>Approved commission above the minimum</t>
        </is>
      </c>
      <c r="H137" s="11" t="inlineStr">
        <is>
          <t>UTR reference</t>
        </is>
      </c>
      <c r="I137" s="11" t="inlineStr">
        <is>
          <t>1. Press Record payout
2. Check UPI, TDS and net
3. Mark paid and email statement
4. Verify the expected result.</t>
        </is>
      </c>
      <c r="J137" s="11" t="inlineStr">
        <is>
          <t>The payout is recorded with gross, TDS, net and UTR; a manager does not see Record payout.</t>
        </is>
      </c>
      <c r="K137" s="11" t="inlineStr"/>
      <c r="L137" s="11" t="inlineStr">
        <is>
          <t>Not Run</t>
        </is>
      </c>
      <c r="M137" s="11" t="inlineStr">
        <is>
          <t>Medium</t>
        </is>
      </c>
      <c r="N137" s="11" t="inlineStr">
        <is>
          <t>Functional</t>
        </is>
      </c>
      <c r="O137" s="11" t="inlineStr"/>
      <c r="P137" s="11" t="inlineStr"/>
      <c r="Q137" s="11" t="inlineStr"/>
      <c r="R137" s="11" t="inlineStr">
        <is>
          <t>Also: Security/Permissions</t>
        </is>
      </c>
      <c r="S137" s="11" t="inlineStr">
        <is>
          <t>Store owner</t>
        </is>
      </c>
      <c r="T137" s="11" t="inlineStr">
        <is>
          <t>No</t>
        </is>
      </c>
      <c r="U137" s="11" t="inlineStr">
        <is>
          <t>docs/qa/regression/vendor-cms/VC-18-affiliates.md</t>
        </is>
      </c>
    </row>
    <row r="138">
      <c r="A138" s="11" t="inlineStr">
        <is>
          <t>VC-19-001</t>
        </is>
      </c>
      <c r="B138" s="11" t="inlineStr">
        <is>
          <t>Vendor CMS</t>
        </is>
      </c>
      <c r="C138" s="11" t="inlineStr">
        <is>
          <t>VC-19 · Reviews</t>
        </is>
      </c>
      <c r="D138" s="11" t="inlineStr">
        <is>
          <t>Moderation</t>
        </is>
      </c>
      <c r="E138" s="11" t="inlineStr">
        <is>
          <t>To approve</t>
        </is>
      </c>
      <c r="F138" s="11" t="inlineStr">
        <is>
          <t>A new review waits under To approve.</t>
        </is>
      </c>
      <c r="G138" s="11" t="inlineStr">
        <is>
          <t>A review written on the store</t>
        </is>
      </c>
      <c r="H138" s="11" t="inlineStr">
        <is>
          <t>—</t>
        </is>
      </c>
      <c r="I138" s="11" t="inlineStr">
        <is>
          <t>1. Open Marketing → Reviews
2. Verify the expected result.</t>
        </is>
      </c>
      <c r="J138" s="11" t="inlineStr">
        <is>
          <t>Listed under To approve with "Verified purchase" and a low-rating note when 1–2 stars.</t>
        </is>
      </c>
      <c r="K138" s="11" t="inlineStr"/>
      <c r="L138" s="11" t="inlineStr">
        <is>
          <t>Not Run</t>
        </is>
      </c>
      <c r="M138" s="11" t="inlineStr">
        <is>
          <t>High</t>
        </is>
      </c>
      <c r="N138" s="11" t="inlineStr">
        <is>
          <t>Integration</t>
        </is>
      </c>
      <c r="O138" s="11" t="inlineStr"/>
      <c r="P138" s="11" t="inlineStr"/>
      <c r="Q138" s="11" t="inlineStr"/>
      <c r="R138" s="11" t="inlineStr"/>
      <c r="S138" s="11" t="inlineStr">
        <is>
          <t>Store owner</t>
        </is>
      </c>
      <c r="T138" s="11" t="inlineStr">
        <is>
          <t>No</t>
        </is>
      </c>
      <c r="U138" s="11" t="inlineStr">
        <is>
          <t>docs/qa/regression/vendor-cms/VC-19-reviews.md</t>
        </is>
      </c>
    </row>
    <row r="139">
      <c r="A139" s="11" t="inlineStr">
        <is>
          <t>VC-19-002</t>
        </is>
      </c>
      <c r="B139" s="11" t="inlineStr">
        <is>
          <t>Vendor CMS</t>
        </is>
      </c>
      <c r="C139" s="11" t="inlineStr">
        <is>
          <t>VC-19 · Reviews</t>
        </is>
      </c>
      <c r="D139" s="11" t="inlineStr">
        <is>
          <t>Moderation</t>
        </is>
      </c>
      <c r="E139" s="11" t="inlineStr">
        <is>
          <t>Approve with reply</t>
        </is>
      </c>
      <c r="F139" s="11" t="inlineStr">
        <is>
          <t>Approving with a reply publishes it with the reply.</t>
        </is>
      </c>
      <c r="G139" s="11" t="inlineStr">
        <is>
          <t>A review to approve</t>
        </is>
      </c>
      <c r="H139" s="11" t="inlineStr">
        <is>
          <t>Reply "Thank you, we will send a new aerator"</t>
        </is>
      </c>
      <c r="I139" s="11" t="inlineStr">
        <is>
          <t>1. Type the reply
2. Press Approve with reply
3. Open the product on the store
4. Verify the expected result.</t>
        </is>
      </c>
      <c r="J139" s="11" t="inlineStr">
        <is>
          <t>The product page shows the rating, bars and the review with the store's reply; cards show stars; the reply email prints in the terminal.</t>
        </is>
      </c>
      <c r="K139" s="11" t="inlineStr"/>
      <c r="L139" s="11" t="inlineStr">
        <is>
          <t>Not Run</t>
        </is>
      </c>
      <c r="M139" s="11" t="inlineStr">
        <is>
          <t>Critical</t>
        </is>
      </c>
      <c r="N139" s="11" t="inlineStr">
        <is>
          <t>Integration</t>
        </is>
      </c>
      <c r="O139" s="11" t="inlineStr"/>
      <c r="P139" s="11" t="inlineStr"/>
      <c r="Q139" s="11" t="inlineStr"/>
      <c r="R139" s="11" t="inlineStr"/>
      <c r="S139" s="11" t="inlineStr">
        <is>
          <t>Store owner</t>
        </is>
      </c>
      <c r="T139" s="11" t="inlineStr">
        <is>
          <t>Yes</t>
        </is>
      </c>
      <c r="U139" s="11" t="inlineStr">
        <is>
          <t>docs/qa/regression/vendor-cms/VC-19-reviews.md</t>
        </is>
      </c>
    </row>
    <row r="140">
      <c r="A140" s="11" t="inlineStr">
        <is>
          <t>VC-19-003</t>
        </is>
      </c>
      <c r="B140" s="11" t="inlineStr">
        <is>
          <t>Vendor CMS</t>
        </is>
      </c>
      <c r="C140" s="11" t="inlineStr">
        <is>
          <t>VC-19 · Reviews</t>
        </is>
      </c>
      <c r="D140" s="11" t="inlineStr">
        <is>
          <t>Moderation</t>
        </is>
      </c>
      <c r="E140" s="11" t="inlineStr">
        <is>
          <t>Reject needs a reason</t>
        </is>
      </c>
      <c r="F140" s="11" t="inlineStr">
        <is>
          <t>Rejecting waits for a reason.</t>
        </is>
      </c>
      <c r="G140" s="11" t="inlineStr">
        <is>
          <t>A review to approve</t>
        </is>
      </c>
      <c r="H140" s="11" t="inlineStr">
        <is>
          <t>—</t>
        </is>
      </c>
      <c r="I140" s="11" t="inlineStr">
        <is>
          <t>1. Press Reject with no reason
2. Verify the expected result.</t>
        </is>
      </c>
      <c r="J140" s="11" t="inlineStr">
        <is>
          <t>The button waits for a reason; with one it is rejected and never shown.</t>
        </is>
      </c>
      <c r="K140" s="11" t="inlineStr"/>
      <c r="L140" s="11" t="inlineStr">
        <is>
          <t>Not Run</t>
        </is>
      </c>
      <c r="M140" s="11" t="inlineStr">
        <is>
          <t>Medium</t>
        </is>
      </c>
      <c r="N140" s="11" t="inlineStr">
        <is>
          <t>Validation</t>
        </is>
      </c>
      <c r="O140" s="11" t="inlineStr"/>
      <c r="P140" s="11" t="inlineStr"/>
      <c r="Q140" s="11" t="inlineStr"/>
      <c r="R140" s="11" t="inlineStr"/>
      <c r="S140" s="11" t="inlineStr">
        <is>
          <t>Store owner</t>
        </is>
      </c>
      <c r="T140" s="11" t="inlineStr">
        <is>
          <t>No</t>
        </is>
      </c>
      <c r="U140" s="11" t="inlineStr">
        <is>
          <t>docs/qa/regression/vendor-cms/VC-19-reviews.md</t>
        </is>
      </c>
    </row>
    <row r="141">
      <c r="A141" s="11" t="inlineStr">
        <is>
          <t>VC-19-004</t>
        </is>
      </c>
      <c r="B141" s="11" t="inlineStr">
        <is>
          <t>Vendor CMS</t>
        </is>
      </c>
      <c r="C141" s="11" t="inlineStr">
        <is>
          <t>VC-19 · Reviews</t>
        </is>
      </c>
      <c r="D141" s="11" t="inlineStr">
        <is>
          <t>Settings</t>
        </is>
      </c>
      <c r="E141" s="11" t="inlineStr">
        <is>
          <t>Publish straight away</t>
        </is>
      </c>
      <c r="F141" s="11" t="inlineStr">
        <is>
          <t>Unticking Hold publishes new reviews at once.</t>
        </is>
      </c>
      <c r="G141" s="11" t="inlineStr">
        <is>
          <t>Reviews settings</t>
        </is>
      </c>
      <c r="H141" s="11" t="inlineStr">
        <is>
          <t>Untick Hold new reviews for approval</t>
        </is>
      </c>
      <c r="I141" s="11" t="inlineStr">
        <is>
          <t>1. Untick it
2. Save settings
3. Write another review on the store
4. Verify the expected result.</t>
        </is>
      </c>
      <c r="J141" s="11" t="inlineStr">
        <is>
          <t>The next review is published at once.</t>
        </is>
      </c>
      <c r="K141" s="11" t="inlineStr"/>
      <c r="L141" s="11" t="inlineStr">
        <is>
          <t>Not Run</t>
        </is>
      </c>
      <c r="M141" s="11" t="inlineStr">
        <is>
          <t>Medium</t>
        </is>
      </c>
      <c r="N141" s="11" t="inlineStr">
        <is>
          <t>Functional</t>
        </is>
      </c>
      <c r="O141" s="11" t="inlineStr"/>
      <c r="P141" s="11" t="inlineStr"/>
      <c r="Q141" s="11" t="inlineStr"/>
      <c r="R141" s="11" t="inlineStr"/>
      <c r="S141" s="11" t="inlineStr">
        <is>
          <t>Store owner</t>
        </is>
      </c>
      <c r="T141" s="11" t="inlineStr">
        <is>
          <t>No</t>
        </is>
      </c>
      <c r="U141" s="11" t="inlineStr">
        <is>
          <t>docs/qa/regression/vendor-cms/VC-19-reviews.md</t>
        </is>
      </c>
    </row>
    <row r="142">
      <c r="A142" s="11" t="inlineStr">
        <is>
          <t>VC-19-005</t>
        </is>
      </c>
      <c r="B142" s="11" t="inlineStr">
        <is>
          <t>Vendor CMS</t>
        </is>
      </c>
      <c r="C142" s="11" t="inlineStr">
        <is>
          <t>VC-19 · Reviews</t>
        </is>
      </c>
      <c r="D142" s="11" t="inlineStr">
        <is>
          <t>Honesty</t>
        </is>
      </c>
      <c r="E142" s="11" t="inlineStr">
        <is>
          <t>Store cannot edit a review</t>
        </is>
      </c>
      <c r="F142" s="11" t="inlineStr">
        <is>
          <t>The review text cannot be changed by the store.</t>
        </is>
      </c>
      <c r="G142" s="11" t="inlineStr">
        <is>
          <t>A published review</t>
        </is>
      </c>
      <c r="H142" s="11" t="inlineStr">
        <is>
          <t>—</t>
        </is>
      </c>
      <c r="I142" s="11" t="inlineStr">
        <is>
          <t>1. Open the review
2. Try to change its text or stars
3. Verify the expected result.</t>
        </is>
      </c>
      <c r="J142" s="11" t="inlineStr">
        <is>
          <t>Text and stars are read-only; only the reply can be written.</t>
        </is>
      </c>
      <c r="K142" s="11" t="inlineStr"/>
      <c r="L142" s="11" t="inlineStr">
        <is>
          <t>Not Run</t>
        </is>
      </c>
      <c r="M142" s="11" t="inlineStr">
        <is>
          <t>High</t>
        </is>
      </c>
      <c r="N142" s="11" t="inlineStr">
        <is>
          <t>Security/Permissions</t>
        </is>
      </c>
      <c r="O142" s="11" t="inlineStr"/>
      <c r="P142" s="11" t="inlineStr"/>
      <c r="Q142" s="11" t="inlineStr"/>
      <c r="R142" s="11" t="inlineStr"/>
      <c r="S142" s="11" t="inlineStr">
        <is>
          <t>Store owner</t>
        </is>
      </c>
      <c r="T142" s="11" t="inlineStr">
        <is>
          <t>No</t>
        </is>
      </c>
      <c r="U142" s="11" t="inlineStr">
        <is>
          <t>docs/qa/regression/vendor-cms/VC-19-reviews.md</t>
        </is>
      </c>
    </row>
    <row r="143">
      <c r="A143" s="11" t="inlineStr">
        <is>
          <t>VC-20-001</t>
        </is>
      </c>
      <c r="B143" s="11" t="inlineStr">
        <is>
          <t>Vendor CMS</t>
        </is>
      </c>
      <c r="C143" s="11" t="inlineStr">
        <is>
          <t>VC-20 · Pages and page builder</t>
        </is>
      </c>
      <c r="D143" s="11" t="inlineStr">
        <is>
          <t>List</t>
        </is>
      </c>
      <c r="E143" s="11" t="inlineStr">
        <is>
          <t>Tabs and rows</t>
        </is>
      </c>
      <c r="F143" s="11" t="inlineStr">
        <is>
          <t>Pages lists with status tabs and details.</t>
        </is>
      </c>
      <c r="G143" s="11" t="inlineStr">
        <is>
          <t>Signed in as Home Orbit's owner (or super admin with Manage store on Home Orbit)</t>
        </is>
      </c>
      <c r="H143" s="11" t="inlineStr">
        <is>
          <t>—</t>
        </is>
      </c>
      <c r="I143" s="11" t="inlineStr">
        <is>
          <t>1. Open Content → Pages
2. Verify the expected result.</t>
        </is>
      </c>
      <c r="J143" s="11" t="inlineStr">
        <is>
          <t>Tabs All 7 · Published 2 · Drafts 5; About us (Default) and Home (Landing) published; policy pages drafts; template, status, who and when per row.</t>
        </is>
      </c>
      <c r="K143" s="11" t="inlineStr">
        <is>
          <t>Pages: All 7, Published 2, Unpublished changes 0, Drafts 5, Scheduled 0; search, Template and Changed by filters.</t>
        </is>
      </c>
      <c r="L143" s="11" t="inlineStr">
        <is>
          <t>Pass</t>
        </is>
      </c>
      <c r="M143" s="11" t="inlineStr">
        <is>
          <t>High</t>
        </is>
      </c>
      <c r="N143" s="11" t="inlineStr">
        <is>
          <t>UI/UX</t>
        </is>
      </c>
      <c r="O143" s="11" t="inlineStr">
        <is>
          <t>Claude (Claude in Chrome)</t>
        </is>
      </c>
      <c r="P143" s="11" t="inlineStr">
        <is>
          <t>2026-10-10</t>
        </is>
      </c>
      <c r="Q143" s="11" t="inlineStr"/>
      <c r="R143" s="11" t="inlineStr"/>
      <c r="S143" s="11" t="inlineStr">
        <is>
          <t>Store owner</t>
        </is>
      </c>
      <c r="T143" s="11" t="inlineStr">
        <is>
          <t>Yes</t>
        </is>
      </c>
      <c r="U143" s="11" t="inlineStr">
        <is>
          <t>docs/qa/regression/vendor-cms/VC-20-pages.md</t>
        </is>
      </c>
    </row>
    <row r="144">
      <c r="A144" s="11" t="inlineStr">
        <is>
          <t>VC-20-002</t>
        </is>
      </c>
      <c r="B144" s="11" t="inlineStr">
        <is>
          <t>Vendor CMS</t>
        </is>
      </c>
      <c r="C144" s="11" t="inlineStr">
        <is>
          <t>VC-20 · Pages and page builder</t>
        </is>
      </c>
      <c r="D144" s="11" t="inlineStr">
        <is>
          <t>List</t>
        </is>
      </c>
      <c r="E144" s="11" t="inlineStr">
        <is>
          <t>Search and template filter</t>
        </is>
      </c>
      <c r="F144" s="11" t="inlineStr">
        <is>
          <t>Search and template filter narrow the list.</t>
        </is>
      </c>
      <c r="G144" s="11" t="inlineStr">
        <is>
          <t>Signed in as Home Orbit's owner (or super admin with Manage store on Home Orbit)</t>
        </is>
      </c>
      <c r="H144" s="11" t="inlineStr">
        <is>
          <t>"ship"; Template Policy</t>
        </is>
      </c>
      <c r="I144" s="11" t="inlineStr">
        <is>
          <t>1. Type ship (or press / first)
2. Pick Template → Policy
3. Press Clear filters from an empty result
4. Verify the expected result.</t>
        </is>
      </c>
      <c r="J144" s="11" t="inlineStr">
        <is>
          <t>Only Shipping policy remains; filters combine; Clear filters restores.</t>
        </is>
      </c>
      <c r="K144" s="11" t="inlineStr"/>
      <c r="L144" s="11" t="inlineStr">
        <is>
          <t>Not Run</t>
        </is>
      </c>
      <c r="M144" s="11" t="inlineStr">
        <is>
          <t>Medium</t>
        </is>
      </c>
      <c r="N144" s="11" t="inlineStr">
        <is>
          <t>Functional</t>
        </is>
      </c>
      <c r="O144" s="11" t="inlineStr"/>
      <c r="P144" s="11" t="inlineStr"/>
      <c r="Q144" s="11" t="inlineStr"/>
      <c r="R144" s="11" t="inlineStr"/>
      <c r="S144" s="11" t="inlineStr">
        <is>
          <t>Store owner</t>
        </is>
      </c>
      <c r="T144" s="11" t="inlineStr">
        <is>
          <t>No</t>
        </is>
      </c>
      <c r="U144" s="11" t="inlineStr">
        <is>
          <t>docs/qa/regression/vendor-cms/VC-20-pages.md</t>
        </is>
      </c>
    </row>
    <row r="145">
      <c r="A145" s="11" t="inlineStr">
        <is>
          <t>VC-20-003</t>
        </is>
      </c>
      <c r="B145" s="11" t="inlineStr">
        <is>
          <t>Vendor CMS</t>
        </is>
      </c>
      <c r="C145" s="11" t="inlineStr">
        <is>
          <t>VC-20 · Pages and page builder</t>
        </is>
      </c>
      <c r="D145" s="11" t="inlineStr">
        <is>
          <t>Create</t>
        </is>
      </c>
      <c r="E145" s="11" t="inlineStr">
        <is>
          <t>Choose a template</t>
        </is>
      </c>
      <c r="F145" s="11" t="inlineStr">
        <is>
          <t>Create page offers templates.</t>
        </is>
      </c>
      <c r="G145" s="11" t="inlineStr">
        <is>
          <t>Signed in as Home Orbit's owner (or super admin with Manage store on Home Orbit)</t>
        </is>
      </c>
      <c r="H145" s="11" t="inlineStr">
        <is>
          <t>Landing</t>
        </is>
      </c>
      <c r="I145" s="11" t="inlineStr">
        <is>
          <t>1. Press Create page
2. Pick Landing
3. Verify the expected result.</t>
        </is>
      </c>
      <c r="J145" s="11" t="inlineStr">
        <is>
          <t>The editor opens with Landing ticked; leaving without saving creates nothing.</t>
        </is>
      </c>
      <c r="K145" s="11" t="inlineStr"/>
      <c r="L145" s="11" t="inlineStr">
        <is>
          <t>Not Run</t>
        </is>
      </c>
      <c r="M145" s="11" t="inlineStr">
        <is>
          <t>Medium</t>
        </is>
      </c>
      <c r="N145" s="11" t="inlineStr">
        <is>
          <t>Functional</t>
        </is>
      </c>
      <c r="O145" s="11" t="inlineStr"/>
      <c r="P145" s="11" t="inlineStr"/>
      <c r="Q145" s="11" t="inlineStr"/>
      <c r="R145" s="11" t="inlineStr"/>
      <c r="S145" s="11" t="inlineStr">
        <is>
          <t>Store owner</t>
        </is>
      </c>
      <c r="T145" s="11" t="inlineStr">
        <is>
          <t>No</t>
        </is>
      </c>
      <c r="U145" s="11" t="inlineStr">
        <is>
          <t>docs/qa/regression/vendor-cms/VC-20-pages.md</t>
        </is>
      </c>
    </row>
    <row r="146">
      <c r="A146" s="11" t="inlineStr">
        <is>
          <t>VC-20-004</t>
        </is>
      </c>
      <c r="B146" s="11" t="inlineStr">
        <is>
          <t>Vendor CMS</t>
        </is>
      </c>
      <c r="C146" s="11" t="inlineStr">
        <is>
          <t>VC-20 · Pages and page builder</t>
        </is>
      </c>
      <c r="D146" s="11" t="inlineStr">
        <is>
          <t>Row actions</t>
        </is>
      </c>
      <c r="E146" s="11" t="inlineStr">
        <is>
          <t>Duplicate and delete</t>
        </is>
      </c>
      <c r="F146" s="11" t="inlineStr">
        <is>
          <t>Duplicate makes a draft copy; delete asks first.</t>
        </is>
      </c>
      <c r="G146" s="11" t="inlineStr">
        <is>
          <t>Signed in as Home Orbit's owner (or super admin with Manage store on Home Orbit)</t>
        </is>
      </c>
      <c r="H146" s="11" t="inlineStr">
        <is>
          <t>About us</t>
        </is>
      </c>
      <c r="I146" s="11" t="inlineStr">
        <is>
          <t>1. ⋯ → Duplicate on About us
2. ⋯ → Delete on the copy
3. Confirm
4. Verify the expected result.</t>
        </is>
      </c>
      <c r="J146" s="11" t="inlineStr">
        <is>
          <t>"About us (copy)" opens as a draft; delete asks first and says what is deleted; then it is gone.</t>
        </is>
      </c>
      <c r="K146" s="11" t="inlineStr"/>
      <c r="L146" s="11" t="inlineStr">
        <is>
          <t>Not Run</t>
        </is>
      </c>
      <c r="M146" s="11" t="inlineStr">
        <is>
          <t>Medium</t>
        </is>
      </c>
      <c r="N146" s="11" t="inlineStr">
        <is>
          <t>Functional</t>
        </is>
      </c>
      <c r="O146" s="11" t="inlineStr"/>
      <c r="P146" s="11" t="inlineStr"/>
      <c r="Q146" s="11" t="inlineStr"/>
      <c r="R146" s="11" t="inlineStr"/>
      <c r="S146" s="11" t="inlineStr">
        <is>
          <t>Store owner</t>
        </is>
      </c>
      <c r="T146" s="11" t="inlineStr">
        <is>
          <t>No</t>
        </is>
      </c>
      <c r="U146" s="11" t="inlineStr">
        <is>
          <t>docs/qa/regression/vendor-cms/VC-20-pages.md</t>
        </is>
      </c>
    </row>
    <row r="147">
      <c r="A147" s="11" t="inlineStr">
        <is>
          <t>VC-20-005</t>
        </is>
      </c>
      <c r="B147" s="11" t="inlineStr">
        <is>
          <t>Vendor CMS</t>
        </is>
      </c>
      <c r="C147" s="11" t="inlineStr">
        <is>
          <t>VC-20 · Pages and page builder</t>
        </is>
      </c>
      <c r="D147" s="11" t="inlineStr">
        <is>
          <t>Builder</t>
        </is>
      </c>
      <c r="E147" s="11" t="inlineStr">
        <is>
          <t>Block library</t>
        </is>
      </c>
      <c r="F147" s="11" t="inlineStr">
        <is>
          <t>Add block shows the grouped library by feature.</t>
        </is>
      </c>
      <c r="G147" s="11" t="inlineStr">
        <is>
          <t>Signed in as Home Orbit's owner (or super admin with Manage store on Home Orbit)</t>
        </is>
      </c>
      <c r="H147" s="11" t="inlineStr">
        <is>
          <t>Open Home</t>
        </is>
      </c>
      <c r="I147" s="11" t="inlineStr">
        <is>
          <t>1. Press Add block
2. Verify the expected result.</t>
        </is>
      </c>
      <c r="J147" s="11" t="inlineStr">
        <is>
          <t>Groups Marketing, Commerce, Basic, Utility with pictures and one line each; Offer strip, Reviews, Scheme products, Coupon list, Offers sign-up appear only while their features are on.</t>
        </is>
      </c>
      <c r="K147" s="11" t="inlineStr"/>
      <c r="L147" s="11" t="inlineStr">
        <is>
          <t>Not Run</t>
        </is>
      </c>
      <c r="M147" s="11" t="inlineStr">
        <is>
          <t>High</t>
        </is>
      </c>
      <c r="N147" s="11" t="inlineStr">
        <is>
          <t>UI/UX</t>
        </is>
      </c>
      <c r="O147" s="11" t="inlineStr"/>
      <c r="P147" s="11" t="inlineStr"/>
      <c r="Q147" s="11" t="inlineStr"/>
      <c r="R147" s="11" t="inlineStr"/>
      <c r="S147" s="11" t="inlineStr">
        <is>
          <t>Store owner</t>
        </is>
      </c>
      <c r="T147" s="11" t="inlineStr">
        <is>
          <t>No</t>
        </is>
      </c>
      <c r="U147" s="11" t="inlineStr">
        <is>
          <t>docs/qa/regression/vendor-cms/VC-20-pages.md</t>
        </is>
      </c>
    </row>
    <row r="148">
      <c r="A148" s="11" t="inlineStr">
        <is>
          <t>VC-20-006</t>
        </is>
      </c>
      <c r="B148" s="11" t="inlineStr">
        <is>
          <t>Vendor CMS</t>
        </is>
      </c>
      <c r="C148" s="11" t="inlineStr">
        <is>
          <t>VC-20 · Pages and page builder</t>
        </is>
      </c>
      <c r="D148" s="11" t="inlineStr">
        <is>
          <t>Builder</t>
        </is>
      </c>
      <c r="E148" s="11" t="inlineStr">
        <is>
          <t>Draft preview vs published</t>
        </is>
      </c>
      <c r="F148" s="11" t="inlineStr">
        <is>
          <t>A draft change shows in preview but not on the store until published.</t>
        </is>
      </c>
      <c r="G148" s="11" t="inlineStr">
        <is>
          <t>Signed in as Home Orbit's owner (or super admin with Manage store on Home Orbit)</t>
        </is>
      </c>
      <c r="H148" s="11" t="inlineStr">
        <is>
          <t>Hero heading "QA heading"</t>
        </is>
      </c>
      <c r="I148" s="11" t="inlineStr">
        <is>
          <t>1. Open the preview (eye button)
2. Change the hero heading
3. Save Draft
4. Open http://home-orbit.localhost:3000
5. Publish
6. Reload http://home-orbit.localhost:3000
7. Change it back and publish
8. Verify the expected result.</t>
        </is>
      </c>
      <c r="J148" s="11" t="inlineStr">
        <is>
          <t>Preview updates on draft; the store keeps the old heading until Publish, then shows the new one.</t>
        </is>
      </c>
      <c r="K148" s="11" t="inlineStr"/>
      <c r="L148" s="11" t="inlineStr">
        <is>
          <t>Not Run</t>
        </is>
      </c>
      <c r="M148" s="11" t="inlineStr">
        <is>
          <t>Critical</t>
        </is>
      </c>
      <c r="N148" s="11" t="inlineStr">
        <is>
          <t>Functional</t>
        </is>
      </c>
      <c r="O148" s="11" t="inlineStr"/>
      <c r="P148" s="11" t="inlineStr"/>
      <c r="Q148" s="11" t="inlineStr"/>
      <c r="R148" s="11" t="inlineStr">
        <is>
          <t>Also: Integration</t>
        </is>
      </c>
      <c r="S148" s="11" t="inlineStr">
        <is>
          <t>Store owner</t>
        </is>
      </c>
      <c r="T148" s="11" t="inlineStr">
        <is>
          <t>Yes</t>
        </is>
      </c>
      <c r="U148" s="11" t="inlineStr">
        <is>
          <t>docs/qa/regression/vendor-cms/VC-20-pages.md</t>
        </is>
      </c>
    </row>
    <row r="149">
      <c r="A149" s="11" t="inlineStr">
        <is>
          <t>VC-20-007</t>
        </is>
      </c>
      <c r="B149" s="11" t="inlineStr">
        <is>
          <t>Vendor CMS</t>
        </is>
      </c>
      <c r="C149" s="11" t="inlineStr">
        <is>
          <t>VC-20 · Pages and page builder</t>
        </is>
      </c>
      <c r="D149" s="11" t="inlineStr">
        <is>
          <t>SEO</t>
        </is>
      </c>
      <c r="E149" s="11" t="inlineStr">
        <is>
          <t>Search preview and length</t>
        </is>
      </c>
      <c r="F149" s="11" t="inlineStr">
        <is>
          <t>The SEO tab previews and warns on length.</t>
        </is>
      </c>
      <c r="G149" s="11" t="inlineStr">
        <is>
          <t>Signed in as Home Orbit's owner (or super admin with Manage store on Home Orbit)</t>
        </is>
      </c>
      <c r="H149" s="11" t="inlineStr">
        <is>
          <t>Title of 80 characters</t>
        </is>
      </c>
      <c r="I149" s="11" t="inlineStr">
        <is>
          <t>1. Open the SEO tab
2. Type a long title
3. Verify the expected result.</t>
        </is>
      </c>
      <c r="J149" s="11" t="inlineStr">
        <is>
          <t>A Google preview shows; it says when the title or description is too long.</t>
        </is>
      </c>
      <c r="K149" s="11" t="inlineStr"/>
      <c r="L149" s="11" t="inlineStr">
        <is>
          <t>Not Run</t>
        </is>
      </c>
      <c r="M149" s="11" t="inlineStr">
        <is>
          <t>Low</t>
        </is>
      </c>
      <c r="N149" s="11" t="inlineStr">
        <is>
          <t>Validation</t>
        </is>
      </c>
      <c r="O149" s="11" t="inlineStr"/>
      <c r="P149" s="11" t="inlineStr"/>
      <c r="Q149" s="11" t="inlineStr"/>
      <c r="R149" s="11" t="inlineStr"/>
      <c r="S149" s="11" t="inlineStr">
        <is>
          <t>Store owner</t>
        </is>
      </c>
      <c r="T149" s="11" t="inlineStr">
        <is>
          <t>No</t>
        </is>
      </c>
      <c r="U149" s="11" t="inlineStr">
        <is>
          <t>docs/qa/regression/vendor-cms/VC-20-pages.md</t>
        </is>
      </c>
    </row>
    <row r="150">
      <c r="A150" s="11" t="inlineStr">
        <is>
          <t>VC-20-008</t>
        </is>
      </c>
      <c r="B150" s="11" t="inlineStr">
        <is>
          <t>Vendor CMS</t>
        </is>
      </c>
      <c r="C150" s="11" t="inlineStr">
        <is>
          <t>VC-20 · Pages and page builder</t>
        </is>
      </c>
      <c r="D150" s="11" t="inlineStr">
        <is>
          <t>Publish</t>
        </is>
      </c>
      <c r="E150" s="11" t="inlineStr">
        <is>
          <t>Publish a policy page</t>
        </is>
      </c>
      <c r="F150" s="11" t="inlineStr">
        <is>
          <t>A published policy page opens on the store and in the footer.</t>
        </is>
      </c>
      <c r="G150" s="11" t="inlineStr">
        <is>
          <t>Signed in as Home Orbit's owner (or super admin with Manage store on Home Orbit)</t>
        </is>
      </c>
      <c r="H150" s="11" t="inlineStr">
        <is>
          <t>Shipping policy, one line</t>
        </is>
      </c>
      <c r="I150" s="11" t="inlineStr">
        <is>
          <t>1. Open the Shipping policy draft
2. Write a line
3. Publish
4. Open http://home-orbit.localhost:3000/pages/shipping
5. Verify the expected result.</t>
        </is>
      </c>
      <c r="J150" s="11" t="inlineStr">
        <is>
          <t>The page opens; the footer's Help column lists Shipping policy.</t>
        </is>
      </c>
      <c r="K150" s="11" t="inlineStr"/>
      <c r="L150" s="11" t="inlineStr">
        <is>
          <t>Not Run</t>
        </is>
      </c>
      <c r="M150" s="11" t="inlineStr">
        <is>
          <t>High</t>
        </is>
      </c>
      <c r="N150" s="11" t="inlineStr">
        <is>
          <t>Integration</t>
        </is>
      </c>
      <c r="O150" s="11" t="inlineStr"/>
      <c r="P150" s="11" t="inlineStr"/>
      <c r="Q150" s="11" t="inlineStr"/>
      <c r="R150" s="11" t="inlineStr"/>
      <c r="S150" s="11" t="inlineStr">
        <is>
          <t>Store owner</t>
        </is>
      </c>
      <c r="T150" s="11" t="inlineStr">
        <is>
          <t>No</t>
        </is>
      </c>
      <c r="U150" s="11" t="inlineStr">
        <is>
          <t>docs/qa/regression/vendor-cms/VC-20-pages.md</t>
        </is>
      </c>
    </row>
    <row r="151">
      <c r="A151" s="11" t="inlineStr">
        <is>
          <t>VC-20-009</t>
        </is>
      </c>
      <c r="B151" s="11" t="inlineStr">
        <is>
          <t>Vendor CMS</t>
        </is>
      </c>
      <c r="C151" s="11" t="inlineStr">
        <is>
          <t>VC-20 · Pages and page builder</t>
        </is>
      </c>
      <c r="D151" s="11" t="inlineStr">
        <is>
          <t>Permissions</t>
        </is>
      </c>
      <c r="E151" s="11" t="inlineStr">
        <is>
          <t>Content editor edits pages</t>
        </is>
      </c>
      <c r="F151" s="11" t="inlineStr">
        <is>
          <t>A content editor can edit pages but not products.</t>
        </is>
      </c>
      <c r="G151" s="11" t="inlineStr">
        <is>
          <t>Signed in as Content editor</t>
        </is>
      </c>
      <c r="H151" s="11" t="inlineStr">
        <is>
          <t>—</t>
        </is>
      </c>
      <c r="I151" s="11" t="inlineStr">
        <is>
          <t>1. Edit and save a page
2. Open Products
3. Verify the expected result.</t>
        </is>
      </c>
      <c r="J151" s="11" t="inlineStr">
        <is>
          <t>Pages save; Products are read-only or hidden.</t>
        </is>
      </c>
      <c r="K151" s="11" t="inlineStr"/>
      <c r="L151" s="11" t="inlineStr">
        <is>
          <t>Not Run</t>
        </is>
      </c>
      <c r="M151" s="11" t="inlineStr">
        <is>
          <t>Medium</t>
        </is>
      </c>
      <c r="N151" s="11" t="inlineStr">
        <is>
          <t>Security/Permissions</t>
        </is>
      </c>
      <c r="O151" s="11" t="inlineStr"/>
      <c r="P151" s="11" t="inlineStr"/>
      <c r="Q151" s="11" t="inlineStr"/>
      <c r="R151" s="11" t="inlineStr"/>
      <c r="S151" s="11" t="inlineStr">
        <is>
          <t>Content editor</t>
        </is>
      </c>
      <c r="T151" s="11" t="inlineStr">
        <is>
          <t>No</t>
        </is>
      </c>
      <c r="U151" s="11" t="inlineStr">
        <is>
          <t>docs/qa/regression/vendor-cms/VC-20-pages.md</t>
        </is>
      </c>
    </row>
    <row r="152">
      <c r="A152" s="11" t="inlineStr">
        <is>
          <t>VC-21-001</t>
        </is>
      </c>
      <c r="B152" s="11" t="inlineStr">
        <is>
          <t>Vendor CMS</t>
        </is>
      </c>
      <c r="C152" s="11" t="inlineStr">
        <is>
          <t>VC-21 · Navigation (menus)</t>
        </is>
      </c>
      <c r="D152" s="11" t="inlineStr">
        <is>
          <t>Header menu</t>
        </is>
      </c>
      <c r="E152" s="11" t="inlineStr">
        <is>
          <t>Outline follows the editor</t>
        </is>
      </c>
      <c r="F152" s="11" t="inlineStr">
        <is>
          <t>The header menu outline mirrors edits.</t>
        </is>
      </c>
      <c r="G152" s="11" t="inlineStr">
        <is>
          <t>Signed in as Home Orbit's owner (or super admin with Manage store on Home Orbit)</t>
        </is>
      </c>
      <c r="H152" s="11" t="inlineStr">
        <is>
          <t>Rename "About us" to "Our story"</t>
        </is>
      </c>
      <c r="I152" s="11" t="inlineStr">
        <is>
          <t>1. Open Content → Navigation
2. Rename the item below
3. Read the outline
4. Verify the expected result.</t>
        </is>
      </c>
      <c r="J152" s="11" t="inlineStr">
        <is>
          <t>The outline follows as you type; after Save the store menu shows the new name.</t>
        </is>
      </c>
      <c r="K152" s="11" t="inlineStr"/>
      <c r="L152" s="11" t="inlineStr">
        <is>
          <t>Not Run</t>
        </is>
      </c>
      <c r="M152" s="11" t="inlineStr">
        <is>
          <t>Medium</t>
        </is>
      </c>
      <c r="N152" s="11" t="inlineStr">
        <is>
          <t>Integration</t>
        </is>
      </c>
      <c r="O152" s="11" t="inlineStr"/>
      <c r="P152" s="11" t="inlineStr"/>
      <c r="Q152" s="11" t="inlineStr"/>
      <c r="R152" s="11" t="inlineStr"/>
      <c r="S152" s="11" t="inlineStr">
        <is>
          <t>Store owner</t>
        </is>
      </c>
      <c r="T152" s="11" t="inlineStr">
        <is>
          <t>No</t>
        </is>
      </c>
      <c r="U152" s="11" t="inlineStr">
        <is>
          <t>docs/qa/regression/vendor-cms/VC-21-navigation.md</t>
        </is>
      </c>
    </row>
    <row r="153">
      <c r="A153" s="11" t="inlineStr">
        <is>
          <t>VC-21-002</t>
        </is>
      </c>
      <c r="B153" s="11" t="inlineStr">
        <is>
          <t>Vendor CMS</t>
        </is>
      </c>
      <c r="C153" s="11" t="inlineStr">
        <is>
          <t>VC-21 · Navigation (menus)</t>
        </is>
      </c>
      <c r="D153" s="11" t="inlineStr">
        <is>
          <t>Footer</t>
        </is>
      </c>
      <c r="E153" s="11" t="inlineStr">
        <is>
          <t>Footer columns</t>
        </is>
      </c>
      <c r="F153" s="11" t="inlineStr">
        <is>
          <t>Footer columns show on the store.</t>
        </is>
      </c>
      <c r="G153" s="11" t="inlineStr">
        <is>
          <t>Signed in as Home Orbit's owner (or super admin with Manage store on Home Orbit)</t>
        </is>
      </c>
      <c r="H153" s="11" t="inlineStr">
        <is>
          <t>Add a link "Warranty" to /pages/warranty in Company</t>
        </is>
      </c>
      <c r="I153" s="11" t="inlineStr">
        <is>
          <t>1. Edit the footer column
2. Save
3. Reload http://home-orbit.localhost:3000
4. Verify the expected result.</t>
        </is>
      </c>
      <c r="J153" s="11" t="inlineStr">
        <is>
          <t>The footer shows the link; feature links (Find a dealer, Downloads) are still listed.</t>
        </is>
      </c>
      <c r="K153" s="11" t="inlineStr"/>
      <c r="L153" s="11" t="inlineStr">
        <is>
          <t>Not Run</t>
        </is>
      </c>
      <c r="M153" s="11" t="inlineStr">
        <is>
          <t>Medium</t>
        </is>
      </c>
      <c r="N153" s="11" t="inlineStr">
        <is>
          <t>Integration</t>
        </is>
      </c>
      <c r="O153" s="11" t="inlineStr"/>
      <c r="P153" s="11" t="inlineStr"/>
      <c r="Q153" s="11" t="inlineStr"/>
      <c r="R153" s="11" t="inlineStr"/>
      <c r="S153" s="11" t="inlineStr">
        <is>
          <t>Store owner</t>
        </is>
      </c>
      <c r="T153" s="11" t="inlineStr">
        <is>
          <t>No</t>
        </is>
      </c>
      <c r="U153" s="11" t="inlineStr">
        <is>
          <t>docs/qa/regression/vendor-cms/VC-21-navigation.md</t>
        </is>
      </c>
    </row>
    <row r="154">
      <c r="A154" s="11" t="inlineStr">
        <is>
          <t>VC-21-003</t>
        </is>
      </c>
      <c r="B154" s="11" t="inlineStr">
        <is>
          <t>Vendor CMS</t>
        </is>
      </c>
      <c r="C154" s="11" t="inlineStr">
        <is>
          <t>VC-21 · Navigation (menus)</t>
        </is>
      </c>
      <c r="D154" s="11" t="inlineStr">
        <is>
          <t>Links</t>
        </is>
      </c>
      <c r="E154" s="11" t="inlineStr">
        <is>
          <t>Link to a page, category, product or URL</t>
        </is>
      </c>
      <c r="F154" s="11" t="inlineStr">
        <is>
          <t>Each link type points to the right place.</t>
        </is>
      </c>
      <c r="G154" s="11" t="inlineStr">
        <is>
          <t>Signed in as Home Orbit's owner (or super admin with Manage store on Home Orbit)</t>
        </is>
      </c>
      <c r="H154" s="11" t="inlineStr">
        <is>
          <t>One link of each type</t>
        </is>
      </c>
      <c r="I154" s="11" t="inlineStr">
        <is>
          <t>1. Add one link of each type
2. Save
3. Click each on the store
4. Verify the expected result.</t>
        </is>
      </c>
      <c r="J154" s="11" t="inlineStr">
        <is>
          <t>Each opens the chosen page, category, product or address.</t>
        </is>
      </c>
      <c r="K154" s="11" t="inlineStr"/>
      <c r="L154" s="11" t="inlineStr">
        <is>
          <t>Not Run</t>
        </is>
      </c>
      <c r="M154" s="11" t="inlineStr">
        <is>
          <t>Medium</t>
        </is>
      </c>
      <c r="N154" s="11" t="inlineStr">
        <is>
          <t>Functional</t>
        </is>
      </c>
      <c r="O154" s="11" t="inlineStr"/>
      <c r="P154" s="11" t="inlineStr"/>
      <c r="Q154" s="11" t="inlineStr"/>
      <c r="R154" s="11" t="inlineStr"/>
      <c r="S154" s="11" t="inlineStr">
        <is>
          <t>Store owner</t>
        </is>
      </c>
      <c r="T154" s="11" t="inlineStr">
        <is>
          <t>No</t>
        </is>
      </c>
      <c r="U154" s="11" t="inlineStr">
        <is>
          <t>docs/qa/regression/vendor-cms/VC-21-navigation.md</t>
        </is>
      </c>
    </row>
    <row r="155">
      <c r="A155" s="11" t="inlineStr">
        <is>
          <t>VC-21-004</t>
        </is>
      </c>
      <c r="B155" s="11" t="inlineStr">
        <is>
          <t>Vendor CMS</t>
        </is>
      </c>
      <c r="C155" s="11" t="inlineStr">
        <is>
          <t>VC-21 · Navigation (menus)</t>
        </is>
      </c>
      <c r="D155" s="11" t="inlineStr">
        <is>
          <t>Limits</t>
        </is>
      </c>
      <c r="E155" s="11" t="inlineStr">
        <is>
          <t>Dropdown up to 4 columns</t>
        </is>
      </c>
      <c r="F155" s="11" t="inlineStr">
        <is>
          <t>A dropdown allows at most four columns.</t>
        </is>
      </c>
      <c r="G155" s="11" t="inlineStr">
        <is>
          <t>Signed in as Home Orbit's owner (or super admin with Manage store on Home Orbit)</t>
        </is>
      </c>
      <c r="H155" s="11" t="inlineStr">
        <is>
          <t>A 5th column</t>
        </is>
      </c>
      <c r="I155" s="11" t="inlineStr">
        <is>
          <t>1. Add a 5th column to a dropdown
2. Verify the expected result.</t>
        </is>
      </c>
      <c r="J155" s="11" t="inlineStr">
        <is>
          <t>Refused or the add button disappears at 4.</t>
        </is>
      </c>
      <c r="K155" s="11" t="inlineStr"/>
      <c r="L155" s="11" t="inlineStr">
        <is>
          <t>Not Run</t>
        </is>
      </c>
      <c r="M155" s="11" t="inlineStr">
        <is>
          <t>Low</t>
        </is>
      </c>
      <c r="N155" s="11" t="inlineStr">
        <is>
          <t>Boundary</t>
        </is>
      </c>
      <c r="O155" s="11" t="inlineStr"/>
      <c r="P155" s="11" t="inlineStr"/>
      <c r="Q155" s="11" t="inlineStr"/>
      <c r="R155" s="11" t="inlineStr"/>
      <c r="S155" s="11" t="inlineStr">
        <is>
          <t>Store owner</t>
        </is>
      </c>
      <c r="T155" s="11" t="inlineStr">
        <is>
          <t>No</t>
        </is>
      </c>
      <c r="U155" s="11" t="inlineStr">
        <is>
          <t>docs/qa/regression/vendor-cms/VC-21-navigation.md</t>
        </is>
      </c>
    </row>
    <row r="156">
      <c r="A156" s="11" t="inlineStr">
        <is>
          <t>VC-22-001</t>
        </is>
      </c>
      <c r="B156" s="11" t="inlineStr">
        <is>
          <t>Vendor CMS</t>
        </is>
      </c>
      <c r="C156" s="11" t="inlineStr">
        <is>
          <t>VC-22 · Banners and redirects</t>
        </is>
      </c>
      <c r="D156" s="11" t="inlineStr">
        <is>
          <t>Banners</t>
        </is>
      </c>
      <c r="E156" s="11" t="inlineStr">
        <is>
          <t>Create a banner</t>
        </is>
      </c>
      <c r="F156" s="11" t="inlineStr">
        <is>
          <t>A banner needs a title, placement and image.</t>
        </is>
      </c>
      <c r="G156" s="11" t="inlineStr">
        <is>
          <t>Signed in as Home Orbit's owner (or super admin with Manage store on Home Orbit)</t>
        </is>
      </c>
      <c r="H156" s="11" t="inlineStr">
        <is>
          <t>Title "QA banner", Home page hero, an image, Show on store</t>
        </is>
      </c>
      <c r="I156" s="11" t="inlineStr">
        <is>
          <t>1. Open Content → Banners
2. Create New with these values
3. Save
4. Try again with no image
5. Verify the expected result.</t>
        </is>
      </c>
      <c r="J156" s="11" t="inlineStr">
        <is>
          <t>Saves with all values; without the desktop image it is refused.</t>
        </is>
      </c>
      <c r="K156" s="11" t="inlineStr"/>
      <c r="L156" s="11" t="inlineStr">
        <is>
          <t>Not Run</t>
        </is>
      </c>
      <c r="M156" s="11" t="inlineStr">
        <is>
          <t>Medium</t>
        </is>
      </c>
      <c r="N156" s="11" t="inlineStr">
        <is>
          <t>Validation</t>
        </is>
      </c>
      <c r="O156" s="11" t="inlineStr"/>
      <c r="P156" s="11" t="inlineStr"/>
      <c r="Q156" s="11" t="inlineStr"/>
      <c r="R156" s="11" t="inlineStr"/>
      <c r="S156" s="11" t="inlineStr">
        <is>
          <t>Store owner</t>
        </is>
      </c>
      <c r="T156" s="11" t="inlineStr">
        <is>
          <t>No</t>
        </is>
      </c>
      <c r="U156" s="11" t="inlineStr">
        <is>
          <t>docs/qa/regression/vendor-cms/VC-22-banners-redirects.md</t>
        </is>
      </c>
    </row>
    <row r="157">
      <c r="A157" s="11" t="inlineStr">
        <is>
          <t>VC-22-002</t>
        </is>
      </c>
      <c r="B157" s="11" t="inlineStr">
        <is>
          <t>Vendor CMS</t>
        </is>
      </c>
      <c r="C157" s="11" t="inlineStr">
        <is>
          <t>VC-22 · Banners and redirects</t>
        </is>
      </c>
      <c r="D157" s="11" t="inlineStr">
        <is>
          <t>Banners</t>
        </is>
      </c>
      <c r="E157" s="11" t="inlineStr">
        <is>
          <t>Schedule</t>
        </is>
      </c>
      <c r="F157" s="11" t="inlineStr">
        <is>
          <t>A banner shows only between its dates.</t>
        </is>
      </c>
      <c r="G157" s="11" t="inlineStr">
        <is>
          <t>A banner</t>
        </is>
      </c>
      <c r="H157" s="11" t="inlineStr">
        <is>
          <t>Starts tomorrow</t>
        </is>
      </c>
      <c r="I157" s="11" t="inlineStr">
        <is>
          <t>1. Set Starts to tomorrow
2. Save
3. Check where it is placed on the store
4. Verify the expected result.</t>
        </is>
      </c>
      <c r="J157" s="11" t="inlineStr">
        <is>
          <t>Not shown today; shown from tomorrow.</t>
        </is>
      </c>
      <c r="K157" s="11" t="inlineStr"/>
      <c r="L157" s="11" t="inlineStr">
        <is>
          <t>Not Run</t>
        </is>
      </c>
      <c r="M157" s="11" t="inlineStr">
        <is>
          <t>Low</t>
        </is>
      </c>
      <c r="N157" s="11" t="inlineStr">
        <is>
          <t>Functional</t>
        </is>
      </c>
      <c r="O157" s="11" t="inlineStr"/>
      <c r="P157" s="11" t="inlineStr"/>
      <c r="Q157" s="11" t="inlineStr"/>
      <c r="R157" s="11" t="inlineStr"/>
      <c r="S157" s="11" t="inlineStr">
        <is>
          <t>Store owner</t>
        </is>
      </c>
      <c r="T157" s="11" t="inlineStr">
        <is>
          <t>No</t>
        </is>
      </c>
      <c r="U157" s="11" t="inlineStr">
        <is>
          <t>docs/qa/regression/vendor-cms/VC-22-banners-redirects.md</t>
        </is>
      </c>
    </row>
    <row r="158">
      <c r="A158" s="11" t="inlineStr">
        <is>
          <t>VC-22-003</t>
        </is>
      </c>
      <c r="B158" s="11" t="inlineStr">
        <is>
          <t>Vendor CMS</t>
        </is>
      </c>
      <c r="C158" s="11" t="inlineStr">
        <is>
          <t>VC-22 · Banners and redirects</t>
        </is>
      </c>
      <c r="D158" s="11" t="inlineStr">
        <is>
          <t>Redirects</t>
        </is>
      </c>
      <c r="E158" s="11" t="inlineStr">
        <is>
          <t>Slug change makes a redirect</t>
        </is>
      </c>
      <c r="F158" s="11" t="inlineStr">
        <is>
          <t>Changing a product slug redirects the old address.</t>
        </is>
      </c>
      <c r="G158" s="11" t="inlineStr">
        <is>
          <t>Signed in as Home Orbit's owner (or super admin with Manage store on Home Orbit)</t>
        </is>
      </c>
      <c r="H158" s="11" t="inlineStr">
        <is>
          <t>A live product's slug</t>
        </is>
      </c>
      <c r="I158" s="11" t="inlineStr">
        <is>
          <t>1. Change the slug and save
2. Open /products/&lt;old-slug&gt; on the store
3. Open Content → Redirects
4. Verify the expected result.</t>
        </is>
      </c>
      <c r="J158" s="11" t="inlineStr">
        <is>
          <t>The old address goes to the new one; Redirects lists it as Address changed.</t>
        </is>
      </c>
      <c r="K158" s="11" t="inlineStr"/>
      <c r="L158" s="11" t="inlineStr">
        <is>
          <t>Not Run</t>
        </is>
      </c>
      <c r="M158" s="11" t="inlineStr">
        <is>
          <t>High</t>
        </is>
      </c>
      <c r="N158" s="11" t="inlineStr">
        <is>
          <t>Integration</t>
        </is>
      </c>
      <c r="O158" s="11" t="inlineStr"/>
      <c r="P158" s="11" t="inlineStr"/>
      <c r="Q158" s="11" t="inlineStr"/>
      <c r="R158" s="11" t="inlineStr"/>
      <c r="S158" s="11" t="inlineStr">
        <is>
          <t>Store owner</t>
        </is>
      </c>
      <c r="T158" s="11" t="inlineStr">
        <is>
          <t>No</t>
        </is>
      </c>
      <c r="U158" s="11" t="inlineStr">
        <is>
          <t>docs/qa/regression/vendor-cms/VC-22-banners-redirects.md</t>
        </is>
      </c>
    </row>
    <row r="159">
      <c r="A159" s="11" t="inlineStr">
        <is>
          <t>VC-22-004</t>
        </is>
      </c>
      <c r="B159" s="11" t="inlineStr">
        <is>
          <t>Vendor CMS</t>
        </is>
      </c>
      <c r="C159" s="11" t="inlineStr">
        <is>
          <t>VC-22 · Banners and redirects</t>
        </is>
      </c>
      <c r="D159" s="11" t="inlineStr">
        <is>
          <t>Redirects</t>
        </is>
      </c>
      <c r="E159" s="11" t="inlineStr">
        <is>
          <t>Manual redirect</t>
        </is>
      </c>
      <c r="F159" s="11" t="inlineStr">
        <is>
          <t>A redirect added by hand works.</t>
        </is>
      </c>
      <c r="G159" s="11" t="inlineStr">
        <is>
          <t>Signed in as Home Orbit's owner (or super admin with Manage store on Home Orbit)</t>
        </is>
      </c>
      <c r="H159" s="11" t="inlineStr">
        <is>
          <t>/old-site/catalogue.html → /c/door-hardware</t>
        </is>
      </c>
      <c r="I159" s="11" t="inlineStr">
        <is>
          <t>1. Add the redirect
2. Open the old address on the store
3. Verify the expected result.</t>
        </is>
      </c>
      <c r="J159" s="11" t="inlineStr">
        <is>
          <t>It lands on the category; an address with no page and no redirect shows the 404 page.</t>
        </is>
      </c>
      <c r="K159" s="11" t="inlineStr"/>
      <c r="L159" s="11" t="inlineStr">
        <is>
          <t>Not Run</t>
        </is>
      </c>
      <c r="M159" s="11" t="inlineStr">
        <is>
          <t>Medium</t>
        </is>
      </c>
      <c r="N159" s="11" t="inlineStr">
        <is>
          <t>Functional</t>
        </is>
      </c>
      <c r="O159" s="11" t="inlineStr"/>
      <c r="P159" s="11" t="inlineStr"/>
      <c r="Q159" s="11" t="inlineStr"/>
      <c r="R159" s="11" t="inlineStr"/>
      <c r="S159" s="11" t="inlineStr">
        <is>
          <t>Store owner</t>
        </is>
      </c>
      <c r="T159" s="11" t="inlineStr">
        <is>
          <t>No</t>
        </is>
      </c>
      <c r="U159" s="11" t="inlineStr">
        <is>
          <t>docs/qa/regression/vendor-cms/VC-22-banners-redirects.md</t>
        </is>
      </c>
    </row>
    <row r="160">
      <c r="A160" s="11" t="inlineStr">
        <is>
          <t>VC-22-005</t>
        </is>
      </c>
      <c r="B160" s="11" t="inlineStr">
        <is>
          <t>Vendor CMS</t>
        </is>
      </c>
      <c r="C160" s="11" t="inlineStr">
        <is>
          <t>VC-22 · Banners and redirects</t>
        </is>
      </c>
      <c r="D160" s="11" t="inlineStr">
        <is>
          <t>Redirects</t>
        </is>
      </c>
      <c r="E160" s="11" t="inlineStr">
        <is>
          <t>Duplicate old address</t>
        </is>
      </c>
      <c r="F160" s="11" t="inlineStr">
        <is>
          <t>Two redirects from the same address are refused.</t>
        </is>
      </c>
      <c r="G160" s="11" t="inlineStr">
        <is>
          <t>Signed in as Home Orbit's owner (or super admin with Manage store on Home Orbit)</t>
        </is>
      </c>
      <c r="H160" s="11" t="inlineStr">
        <is>
          <t>Same Old address again</t>
        </is>
      </c>
      <c r="I160" s="11" t="inlineStr">
        <is>
          <t>1. Add a second redirect from the same address
2. Verify the expected result.</t>
        </is>
      </c>
      <c r="J160" s="11" t="inlineStr">
        <is>
          <t>Refused as already used.</t>
        </is>
      </c>
      <c r="K160" s="11" t="inlineStr"/>
      <c r="L160" s="11" t="inlineStr">
        <is>
          <t>Not Run</t>
        </is>
      </c>
      <c r="M160" s="11" t="inlineStr">
        <is>
          <t>Low</t>
        </is>
      </c>
      <c r="N160" s="11" t="inlineStr">
        <is>
          <t>Validation</t>
        </is>
      </c>
      <c r="O160" s="11" t="inlineStr"/>
      <c r="P160" s="11" t="inlineStr"/>
      <c r="Q160" s="11" t="inlineStr"/>
      <c r="R160" s="11" t="inlineStr"/>
      <c r="S160" s="11" t="inlineStr">
        <is>
          <t>Store owner</t>
        </is>
      </c>
      <c r="T160" s="11" t="inlineStr">
        <is>
          <t>No</t>
        </is>
      </c>
      <c r="U160" s="11" t="inlineStr">
        <is>
          <t>docs/qa/regression/vendor-cms/VC-22-banners-redirects.md</t>
        </is>
      </c>
    </row>
    <row r="161">
      <c r="A161" s="11" t="inlineStr">
        <is>
          <t>VC-23-001</t>
        </is>
      </c>
      <c r="B161" s="11" t="inlineStr">
        <is>
          <t>Vendor CMS</t>
        </is>
      </c>
      <c r="C161" s="11" t="inlineStr">
        <is>
          <t>VC-23 · Dealers</t>
        </is>
      </c>
      <c r="D161" s="11" t="inlineStr">
        <is>
          <t>List</t>
        </is>
      </c>
      <c r="E161" s="11" t="inlineStr">
        <is>
          <t>List and map</t>
        </is>
      </c>
      <c r="F161" s="11" t="inlineStr">
        <is>
          <t>Dealers show with a Shown switch beside a map.</t>
        </is>
      </c>
      <c r="G161" s="11" t="inlineStr">
        <is>
          <t>Signed in as Home Orbit's owner (or super admin with Manage store on Home Orbit); dealers exist</t>
        </is>
      </c>
      <c r="H161" s="11" t="inlineStr">
        <is>
          <t>—</t>
        </is>
      </c>
      <c r="I161" s="11" t="inlineStr">
        <is>
          <t>1. Open Store → Dealers
2. Click a dealer
3. Verify the expected result.</t>
        </is>
      </c>
      <c r="J161" s="11" t="inlineStr">
        <is>
          <t>Rows with name (phone partly hidden), type, city, pincode and Shown; the pin turns red and the address and position show under the map.</t>
        </is>
      </c>
      <c r="K161" s="11" t="inlineStr"/>
      <c r="L161" s="11" t="inlineStr">
        <is>
          <t>Not Run</t>
        </is>
      </c>
      <c r="M161" s="11" t="inlineStr">
        <is>
          <t>High</t>
        </is>
      </c>
      <c r="N161" s="11" t="inlineStr">
        <is>
          <t>UI/UX</t>
        </is>
      </c>
      <c r="O161" s="11" t="inlineStr"/>
      <c r="P161" s="11" t="inlineStr"/>
      <c r="Q161" s="11" t="inlineStr"/>
      <c r="R161" s="11" t="inlineStr"/>
      <c r="S161" s="11" t="inlineStr">
        <is>
          <t>Store owner</t>
        </is>
      </c>
      <c r="T161" s="11" t="inlineStr">
        <is>
          <t>No</t>
        </is>
      </c>
      <c r="U161" s="11" t="inlineStr">
        <is>
          <t>docs/qa/regression/vendor-cms/VC-23-dealers.md</t>
        </is>
      </c>
    </row>
    <row r="162">
      <c r="A162" s="11" t="inlineStr">
        <is>
          <t>VC-23-002</t>
        </is>
      </c>
      <c r="B162" s="11" t="inlineStr">
        <is>
          <t>Vendor CMS</t>
        </is>
      </c>
      <c r="C162" s="11" t="inlineStr">
        <is>
          <t>VC-23 · Dealers</t>
        </is>
      </c>
      <c r="D162" s="11" t="inlineStr">
        <is>
          <t>Create</t>
        </is>
      </c>
      <c r="E162" s="11" t="inlineStr">
        <is>
          <t>Add dealer with pincode fill</t>
        </is>
      </c>
      <c r="F162" s="11" t="inlineStr">
        <is>
          <t>A new dealer can be placed from its pincode.</t>
        </is>
      </c>
      <c r="G162" s="11" t="inlineStr">
        <is>
          <t>Signed in as Home Orbit's owner (or super admin with Manage store on Home Orbit)</t>
        </is>
      </c>
      <c r="H162" s="11" t="inlineStr">
        <is>
          <t>Name, city Pune, pincode 411045, phone</t>
        </is>
      </c>
      <c r="I162" s="11" t="inlineStr">
        <is>
          <t>1. Press Add dealer
2. Fill the fields
3. Press Fill from the pincode
4. Drag the pin
5. Save
6. Verify the expected result.</t>
        </is>
      </c>
      <c r="J162" s="11" t="inlineStr">
        <is>
          <t>The pin lands near the pincode (or the store's other dealers there); the dragged position is saved; the dashboard Dealers step turns Done.</t>
        </is>
      </c>
      <c r="K162" s="11" t="inlineStr"/>
      <c r="L162" s="11" t="inlineStr">
        <is>
          <t>Not Run</t>
        </is>
      </c>
      <c r="M162" s="11" t="inlineStr">
        <is>
          <t>High</t>
        </is>
      </c>
      <c r="N162" s="11" t="inlineStr">
        <is>
          <t>Functional</t>
        </is>
      </c>
      <c r="O162" s="11" t="inlineStr"/>
      <c r="P162" s="11" t="inlineStr"/>
      <c r="Q162" s="11" t="inlineStr"/>
      <c r="R162" s="11" t="inlineStr"/>
      <c r="S162" s="11" t="inlineStr">
        <is>
          <t>Store owner</t>
        </is>
      </c>
      <c r="T162" s="11" t="inlineStr">
        <is>
          <t>No</t>
        </is>
      </c>
      <c r="U162" s="11" t="inlineStr">
        <is>
          <t>docs/qa/regression/vendor-cms/VC-23-dealers.md</t>
        </is>
      </c>
    </row>
    <row r="163">
      <c r="A163" s="11" t="inlineStr">
        <is>
          <t>VC-23-003</t>
        </is>
      </c>
      <c r="B163" s="11" t="inlineStr">
        <is>
          <t>Vendor CMS</t>
        </is>
      </c>
      <c r="C163" s="11" t="inlineStr">
        <is>
          <t>VC-23 · Dealers</t>
        </is>
      </c>
      <c r="D163" s="11" t="inlineStr">
        <is>
          <t>Create</t>
        </is>
      </c>
      <c r="E163" s="11" t="inlineStr">
        <is>
          <t>Required fields and pincode format</t>
        </is>
      </c>
      <c r="F163" s="11" t="inlineStr">
        <is>
          <t>Name and a 6-digit pincode are required.</t>
        </is>
      </c>
      <c r="G163" s="11" t="inlineStr">
        <is>
          <t>Signed in as Home Orbit's owner (or super admin with Manage store on Home Orbit)</t>
        </is>
      </c>
      <c r="H163" s="11" t="inlineStr">
        <is>
          <t>Pincode 12345</t>
        </is>
      </c>
      <c r="I163" s="11" t="inlineStr">
        <is>
          <t>1. Save with an empty name and a 5-digit pincode
2. Verify the expected result.</t>
        </is>
      </c>
      <c r="J163" s="11" t="inlineStr">
        <is>
          <t>Both refused with messages.</t>
        </is>
      </c>
      <c r="K163" s="11" t="inlineStr"/>
      <c r="L163" s="11" t="inlineStr">
        <is>
          <t>Not Run</t>
        </is>
      </c>
      <c r="M163" s="11" t="inlineStr">
        <is>
          <t>Medium</t>
        </is>
      </c>
      <c r="N163" s="11" t="inlineStr">
        <is>
          <t>Validation</t>
        </is>
      </c>
      <c r="O163" s="11" t="inlineStr"/>
      <c r="P163" s="11" t="inlineStr"/>
      <c r="Q163" s="11" t="inlineStr"/>
      <c r="R163" s="11" t="inlineStr"/>
      <c r="S163" s="11" t="inlineStr">
        <is>
          <t>Store owner</t>
        </is>
      </c>
      <c r="T163" s="11" t="inlineStr">
        <is>
          <t>No</t>
        </is>
      </c>
      <c r="U163" s="11" t="inlineStr">
        <is>
          <t>docs/qa/regression/vendor-cms/VC-23-dealers.md</t>
        </is>
      </c>
    </row>
    <row r="164">
      <c r="A164" s="11" t="inlineStr">
        <is>
          <t>VC-23-004</t>
        </is>
      </c>
      <c r="B164" s="11" t="inlineStr">
        <is>
          <t>Vendor CMS</t>
        </is>
      </c>
      <c r="C164" s="11" t="inlineStr">
        <is>
          <t>VC-23 · Dealers</t>
        </is>
      </c>
      <c r="D164" s="11" t="inlineStr">
        <is>
          <t>Shown</t>
        </is>
      </c>
      <c r="E164" s="11" t="inlineStr">
        <is>
          <t>Hide a dealer</t>
        </is>
      </c>
      <c r="F164" s="11" t="inlineStr">
        <is>
          <t>Shown off removes the dealer from the map and the store.</t>
        </is>
      </c>
      <c r="G164" s="11" t="inlineStr">
        <is>
          <t>A shown dealer</t>
        </is>
      </c>
      <c r="H164" s="11" t="inlineStr">
        <is>
          <t>—</t>
        </is>
      </c>
      <c r="I164" s="11" t="inlineStr">
        <is>
          <t>1. Switch Shown off
2. Open http://home-orbit.localhost:3000/dealers
3. Verify the expected result.</t>
        </is>
      </c>
      <c r="J164" s="11" t="inlineStr">
        <is>
          <t>The dealer leaves the map and the store's dealer locator.</t>
        </is>
      </c>
      <c r="K164" s="11" t="inlineStr"/>
      <c r="L164" s="11" t="inlineStr">
        <is>
          <t>Not Run</t>
        </is>
      </c>
      <c r="M164" s="11" t="inlineStr">
        <is>
          <t>High</t>
        </is>
      </c>
      <c r="N164" s="11" t="inlineStr">
        <is>
          <t>Integration</t>
        </is>
      </c>
      <c r="O164" s="11" t="inlineStr"/>
      <c r="P164" s="11" t="inlineStr"/>
      <c r="Q164" s="11" t="inlineStr"/>
      <c r="R164" s="11" t="inlineStr"/>
      <c r="S164" s="11" t="inlineStr">
        <is>
          <t>Store owner</t>
        </is>
      </c>
      <c r="T164" s="11" t="inlineStr">
        <is>
          <t>No</t>
        </is>
      </c>
      <c r="U164" s="11" t="inlineStr">
        <is>
          <t>docs/qa/regression/vendor-cms/VC-23-dealers.md</t>
        </is>
      </c>
    </row>
    <row r="165">
      <c r="A165" s="11" t="inlineStr">
        <is>
          <t>VC-24-001</t>
        </is>
      </c>
      <c r="B165" s="11" t="inlineStr">
        <is>
          <t>Vendor CMS</t>
        </is>
      </c>
      <c r="C165" s="11" t="inlineStr">
        <is>
          <t>VC-24 · Shipping zones and Shiprocket</t>
        </is>
      </c>
      <c r="D165" s="11" t="inlineStr">
        <is>
          <t>Zones</t>
        </is>
      </c>
      <c r="E165" s="11" t="inlineStr">
        <is>
          <t>Zones table</t>
        </is>
      </c>
      <c r="F165" s="11" t="inlineStr">
        <is>
          <t>The zones table shows fees, COD and days.</t>
        </is>
      </c>
      <c r="G165" s="11" t="inlineStr">
        <is>
          <t>Signed in as Home Orbit's owner (or super admin with Manage store on Home Orbit); store selling: `pnpm demo:selling home-orbit` run</t>
        </is>
      </c>
      <c r="H165" s="11" t="inlineStr">
        <is>
          <t>—</t>
        </is>
      </c>
      <c r="I165" s="11" t="inlineStr">
        <is>
          <t>1. Open Store → Shipping
2. Verify the expected result.</t>
        </is>
      </c>
      <c r="J165" s="11" t="inlineStr">
        <is>
          <t>Home state (1 state, Flat ₹99, free above ₹999, COD allowed, 2 to 3 days) and Rest of India (35 states, Flat ₹149).</t>
        </is>
      </c>
      <c r="K165" s="11" t="inlineStr">
        <is>
          <t>Home state 1 state Flat ₹99 free above ₹999 COD Allowed 2 to 3 days; Rest of India 35 states Flat ₹149 free above ₹1,999 3 to 6 days.</t>
        </is>
      </c>
      <c r="L165" s="11" t="inlineStr">
        <is>
          <t>Pass</t>
        </is>
      </c>
      <c r="M165" s="11" t="inlineStr">
        <is>
          <t>High</t>
        </is>
      </c>
      <c r="N165" s="11" t="inlineStr">
        <is>
          <t>UI/UX</t>
        </is>
      </c>
      <c r="O165" s="11" t="inlineStr">
        <is>
          <t>Claude (Claude in Chrome)</t>
        </is>
      </c>
      <c r="P165" s="11" t="inlineStr">
        <is>
          <t>2026-10-10</t>
        </is>
      </c>
      <c r="Q165" s="11" t="inlineStr"/>
      <c r="R165" s="11" t="inlineStr"/>
      <c r="S165" s="11" t="inlineStr">
        <is>
          <t>Store owner</t>
        </is>
      </c>
      <c r="T165" s="11" t="inlineStr">
        <is>
          <t>Yes</t>
        </is>
      </c>
      <c r="U165" s="11" t="inlineStr">
        <is>
          <t>docs/qa/regression/vendor-cms/VC-24-shipping.md</t>
        </is>
      </c>
    </row>
    <row r="166">
      <c r="A166" s="11" t="inlineStr">
        <is>
          <t>VC-24-002</t>
        </is>
      </c>
      <c r="B166" s="11" t="inlineStr">
        <is>
          <t>Vendor CMS</t>
        </is>
      </c>
      <c r="C166" s="11" t="inlineStr">
        <is>
          <t>VC-24 · Shipping zones and Shiprocket</t>
        </is>
      </c>
      <c r="D166" s="11" t="inlineStr">
        <is>
          <t>Test</t>
        </is>
      </c>
      <c r="E166" s="11" t="inlineStr">
        <is>
          <t>Test a pincode</t>
        </is>
      </c>
      <c r="F166" s="11" t="inlineStr">
        <is>
          <t>The pincode test answers from the zones.</t>
        </is>
      </c>
      <c r="G166" s="11" t="inlineStr">
        <is>
          <t>Signed in as Home Orbit's owner (or super admin with Manage store on Home Orbit); store selling: `pnpm demo:selling home-orbit` run</t>
        </is>
      </c>
      <c r="H166" s="11" t="inlineStr">
        <is>
          <t>411045; 110001; 12345</t>
        </is>
      </c>
      <c r="I166" s="11" t="inlineStr">
        <is>
          <t>1. Test 411045
2. Test 110001
3. Test 12345
4. Verify the expected result.</t>
        </is>
      </c>
      <c r="J166" s="11" t="inlineStr">
        <is>
          <t>411045: Home state · Maharashtra, ₹99, free above ₹999, COD allowed, 2 to 3 days, "From your zones". 110001: Rest of India. 12345: "Enter a 6-digit pincode".</t>
        </is>
      </c>
      <c r="K166" s="11" t="inlineStr"/>
      <c r="L166" s="11" t="inlineStr">
        <is>
          <t>Not Run</t>
        </is>
      </c>
      <c r="M166" s="11" t="inlineStr">
        <is>
          <t>High</t>
        </is>
      </c>
      <c r="N166" s="11" t="inlineStr">
        <is>
          <t>Functional</t>
        </is>
      </c>
      <c r="O166" s="11" t="inlineStr"/>
      <c r="P166" s="11" t="inlineStr"/>
      <c r="Q166" s="11" t="inlineStr"/>
      <c r="R166" s="11" t="inlineStr">
        <is>
          <t>Also: Validation</t>
        </is>
      </c>
      <c r="S166" s="11" t="inlineStr">
        <is>
          <t>Store owner</t>
        </is>
      </c>
      <c r="T166" s="11" t="inlineStr">
        <is>
          <t>No</t>
        </is>
      </c>
      <c r="U166" s="11" t="inlineStr">
        <is>
          <t>docs/qa/regression/vendor-cms/VC-24-shipping.md</t>
        </is>
      </c>
    </row>
    <row r="167">
      <c r="A167" s="11" t="inlineStr">
        <is>
          <t>VC-24-003</t>
        </is>
      </c>
      <c r="B167" s="11" t="inlineStr">
        <is>
          <t>Vendor CMS</t>
        </is>
      </c>
      <c r="C167" s="11" t="inlineStr">
        <is>
          <t>VC-24 · Shipping zones and Shiprocket</t>
        </is>
      </c>
      <c r="D167" s="11" t="inlineStr">
        <is>
          <t>Zones</t>
        </is>
      </c>
      <c r="E167" s="11" t="inlineStr">
        <is>
          <t>Add a weight-based zone</t>
        </is>
      </c>
      <c r="F167" s="11" t="inlineStr">
        <is>
          <t>A pincode zone with weight pricing saves and applies.</t>
        </is>
      </c>
      <c r="G167" s="11" t="inlineStr">
        <is>
          <t>Signed in as Home Orbit's owner (or super admin with Manage store on Home Orbit); store selling: `pnpm demo:selling home-orbit` run</t>
        </is>
      </c>
      <c r="H167" s="11" t="inlineStr">
        <is>
          <t>Remote areas, pincodes 744101, 1941; Weight; ₹299 up to 2 kg; ₹40/kg; 7–10 days; COD off</t>
        </is>
      </c>
      <c r="I167" s="11" t="inlineStr">
        <is>
          <t>1. Press Add zone with these values
2. Test 744101
3. At checkout use 744101
4. Verify the expected result.</t>
        </is>
      </c>
      <c r="J167" s="11" t="inlineStr">
        <is>
          <t>Table shows "2 pincodes", "₹299 up to 2 kg, then ₹40 per kg", COD Not allowed; checkout offers no COD for 744101.</t>
        </is>
      </c>
      <c r="K167" s="11" t="inlineStr"/>
      <c r="L167" s="11" t="inlineStr">
        <is>
          <t>Not Run</t>
        </is>
      </c>
      <c r="M167" s="11" t="inlineStr">
        <is>
          <t>High</t>
        </is>
      </c>
      <c r="N167" s="11" t="inlineStr">
        <is>
          <t>Functional</t>
        </is>
      </c>
      <c r="O167" s="11" t="inlineStr"/>
      <c r="P167" s="11" t="inlineStr"/>
      <c r="Q167" s="11" t="inlineStr"/>
      <c r="R167" s="11" t="inlineStr">
        <is>
          <t>Also: Integration</t>
        </is>
      </c>
      <c r="S167" s="11" t="inlineStr">
        <is>
          <t>Store owner</t>
        </is>
      </c>
      <c r="T167" s="11" t="inlineStr">
        <is>
          <t>No</t>
        </is>
      </c>
      <c r="U167" s="11" t="inlineStr">
        <is>
          <t>docs/qa/regression/vendor-cms/VC-24-shipping.md</t>
        </is>
      </c>
    </row>
    <row r="168">
      <c r="A168" s="11" t="inlineStr">
        <is>
          <t>VC-24-004</t>
        </is>
      </c>
      <c r="B168" s="11" t="inlineStr">
        <is>
          <t>Vendor CMS</t>
        </is>
      </c>
      <c r="C168" s="11" t="inlineStr">
        <is>
          <t>VC-24 · Shipping zones and Shiprocket</t>
        </is>
      </c>
      <c r="D168" s="11" t="inlineStr">
        <is>
          <t>Zones</t>
        </is>
      </c>
      <c r="E168" s="11" t="inlineStr">
        <is>
          <t>Validation</t>
        </is>
      </c>
      <c r="F168" s="11" t="inlineStr">
        <is>
          <t>Empty coverage and reversed days are refused.</t>
        </is>
      </c>
      <c r="G168" s="11" t="inlineStr">
        <is>
          <t>Signed in as Home Orbit's owner (or super admin with Manage store on Home Orbit); store selling: `pnpm demo:selling home-orbit` run</t>
        </is>
      </c>
      <c r="H168" s="11" t="inlineStr">
        <is>
          <t>No states or pincodes; days 6 to 2</t>
        </is>
      </c>
      <c r="I168" s="11" t="inlineStr">
        <is>
          <t>1. Add a zone with no coverage
2. Add one with days 6 to 2
3. Verify the expected result.</t>
        </is>
      </c>
      <c r="J168" s="11" t="inlineStr">
        <is>
          <t>"Pick at least one state or pincode"; "The first number of days must not be more than the second".</t>
        </is>
      </c>
      <c r="K168" s="11" t="inlineStr"/>
      <c r="L168" s="11" t="inlineStr">
        <is>
          <t>Not Run</t>
        </is>
      </c>
      <c r="M168" s="11" t="inlineStr">
        <is>
          <t>High</t>
        </is>
      </c>
      <c r="N168" s="11" t="inlineStr">
        <is>
          <t>Validation</t>
        </is>
      </c>
      <c r="O168" s="11" t="inlineStr"/>
      <c r="P168" s="11" t="inlineStr"/>
      <c r="Q168" s="11" t="inlineStr"/>
      <c r="R168" s="11" t="inlineStr"/>
      <c r="S168" s="11" t="inlineStr">
        <is>
          <t>Store owner</t>
        </is>
      </c>
      <c r="T168" s="11" t="inlineStr">
        <is>
          <t>No</t>
        </is>
      </c>
      <c r="U168" s="11" t="inlineStr">
        <is>
          <t>docs/qa/regression/vendor-cms/VC-24-shipping.md</t>
        </is>
      </c>
    </row>
    <row r="169">
      <c r="A169" s="11" t="inlineStr">
        <is>
          <t>VC-24-005</t>
        </is>
      </c>
      <c r="B169" s="11" t="inlineStr">
        <is>
          <t>Vendor CMS</t>
        </is>
      </c>
      <c r="C169" s="11" t="inlineStr">
        <is>
          <t>VC-24 · Shipping zones and Shiprocket</t>
        </is>
      </c>
      <c r="D169" s="11" t="inlineStr">
        <is>
          <t>Zones</t>
        </is>
      </c>
      <c r="E169" s="11" t="inlineStr">
        <is>
          <t>Delete zone</t>
        </is>
      </c>
      <c r="F169" s="11" t="inlineStr">
        <is>
          <t>A zone can be deleted after confirmation.</t>
        </is>
      </c>
      <c r="G169" s="11" t="inlineStr">
        <is>
          <t>Remote areas exists</t>
        </is>
      </c>
      <c r="H169" s="11" t="inlineStr">
        <is>
          <t>—</t>
        </is>
      </c>
      <c r="I169" s="11" t="inlineStr">
        <is>
          <t>1. Pick Remote areas
2. Delete zone → Yes, delete
3. Verify the expected result.</t>
        </is>
      </c>
      <c r="J169" s="11" t="inlineStr">
        <is>
          <t>It is gone; 744101 is no longer deliverable (or falls back to another zone).</t>
        </is>
      </c>
      <c r="K169" s="11" t="inlineStr"/>
      <c r="L169" s="11" t="inlineStr">
        <is>
          <t>Not Run</t>
        </is>
      </c>
      <c r="M169" s="11" t="inlineStr">
        <is>
          <t>Medium</t>
        </is>
      </c>
      <c r="N169" s="11" t="inlineStr">
        <is>
          <t>Functional</t>
        </is>
      </c>
      <c r="O169" s="11" t="inlineStr"/>
      <c r="P169" s="11" t="inlineStr"/>
      <c r="Q169" s="11" t="inlineStr"/>
      <c r="R169" s="11" t="inlineStr"/>
      <c r="S169" s="11" t="inlineStr">
        <is>
          <t>Store owner</t>
        </is>
      </c>
      <c r="T169" s="11" t="inlineStr">
        <is>
          <t>No</t>
        </is>
      </c>
      <c r="U169" s="11" t="inlineStr">
        <is>
          <t>docs/qa/regression/vendor-cms/VC-24-shipping.md</t>
        </is>
      </c>
    </row>
    <row r="170">
      <c r="A170" s="11" t="inlineStr">
        <is>
          <t>VC-24-006</t>
        </is>
      </c>
      <c r="B170" s="11" t="inlineStr">
        <is>
          <t>Vendor CMS</t>
        </is>
      </c>
      <c r="C170" s="11" t="inlineStr">
        <is>
          <t>VC-24 · Shipping zones and Shiprocket</t>
        </is>
      </c>
      <c r="D170" s="11" t="inlineStr">
        <is>
          <t>Permissions</t>
        </is>
      </c>
      <c r="E170" s="11" t="inlineStr">
        <is>
          <t>Order manager has no shipping</t>
        </is>
      </c>
      <c r="F170" s="11" t="inlineStr">
        <is>
          <t>Order managers cannot open shipping.</t>
        </is>
      </c>
      <c r="G170" s="11" t="inlineStr">
        <is>
          <t>Signed in as Order manager</t>
        </is>
      </c>
      <c r="H170" s="11" t="inlineStr">
        <is>
          <t>http://localhost:3000/admin/shipping</t>
        </is>
      </c>
      <c r="I170" s="11" t="inlineStr">
        <is>
          <t>1. Open the address
2. Verify the expected result.</t>
        </is>
      </c>
      <c r="J170" s="11" t="inlineStr">
        <is>
          <t>Says only owners and managers see it; not in the menu.</t>
        </is>
      </c>
      <c r="K170" s="11" t="inlineStr"/>
      <c r="L170" s="11" t="inlineStr">
        <is>
          <t>Not Run</t>
        </is>
      </c>
      <c r="M170" s="11" t="inlineStr">
        <is>
          <t>Medium</t>
        </is>
      </c>
      <c r="N170" s="11" t="inlineStr">
        <is>
          <t>Security/Permissions</t>
        </is>
      </c>
      <c r="O170" s="11" t="inlineStr"/>
      <c r="P170" s="11" t="inlineStr"/>
      <c r="Q170" s="11" t="inlineStr"/>
      <c r="R170" s="11" t="inlineStr"/>
      <c r="S170" s="11" t="inlineStr">
        <is>
          <t>Order manager</t>
        </is>
      </c>
      <c r="T170" s="11" t="inlineStr">
        <is>
          <t>No</t>
        </is>
      </c>
      <c r="U170" s="11" t="inlineStr">
        <is>
          <t>docs/qa/regression/vendor-cms/VC-24-shipping.md</t>
        </is>
      </c>
    </row>
    <row r="171">
      <c r="A171" s="11" t="inlineStr">
        <is>
          <t>VC-25-001</t>
        </is>
      </c>
      <c r="B171" s="11" t="inlineStr">
        <is>
          <t>Vendor CMS</t>
        </is>
      </c>
      <c r="C171" s="11" t="inlineStr">
        <is>
          <t>VC-25 · Payments (Razorpay and COD)</t>
        </is>
      </c>
      <c r="D171" s="11" t="inlineStr">
        <is>
          <t>Razorpay</t>
        </is>
      </c>
      <c r="E171" s="11" t="inlineStr">
        <is>
          <t>Not connected state</t>
        </is>
      </c>
      <c r="F171" s="11" t="inlineStr">
        <is>
          <t>Payments shows the Razorpay form when not connected.</t>
        </is>
      </c>
      <c r="G171" s="11" t="inlineStr">
        <is>
          <t>Signed in as Home Orbit's owner (or super admin with Manage store on Home Orbit)</t>
        </is>
      </c>
      <c r="H171" s="11" t="inlineStr">
        <is>
          <t>—</t>
        </is>
      </c>
      <c r="I171" s="11" t="inlineStr">
        <is>
          <t>1. Open Store → Payments
2. Verify the expected result.</t>
        </is>
      </c>
      <c r="J171" s="11" t="inlineStr">
        <is>
          <t>"Not connected", Mode Test/Live, Key ID, Key secret, Webhook secret, the webhook address with Copy and the events to tick.</t>
        </is>
      </c>
      <c r="K171" s="11" t="inlineStr"/>
      <c r="L171" s="11" t="inlineStr">
        <is>
          <t>Not Run</t>
        </is>
      </c>
      <c r="M171" s="11" t="inlineStr">
        <is>
          <t>High</t>
        </is>
      </c>
      <c r="N171" s="11" t="inlineStr">
        <is>
          <t>UI/UX</t>
        </is>
      </c>
      <c r="O171" s="11" t="inlineStr"/>
      <c r="P171" s="11" t="inlineStr"/>
      <c r="Q171" s="11" t="inlineStr"/>
      <c r="R171" s="11" t="inlineStr"/>
      <c r="S171" s="11" t="inlineStr">
        <is>
          <t>Store owner</t>
        </is>
      </c>
      <c r="T171" s="11" t="inlineStr">
        <is>
          <t>No</t>
        </is>
      </c>
      <c r="U171" s="11" t="inlineStr">
        <is>
          <t>docs/qa/regression/vendor-cms/VC-25-payments.md</t>
        </is>
      </c>
    </row>
    <row r="172">
      <c r="A172" s="11" t="inlineStr">
        <is>
          <t>VC-25-002</t>
        </is>
      </c>
      <c r="B172" s="11" t="inlineStr">
        <is>
          <t>Vendor CMS</t>
        </is>
      </c>
      <c r="C172" s="11" t="inlineStr">
        <is>
          <t>VC-25 · Payments (Razorpay and COD)</t>
        </is>
      </c>
      <c r="D172" s="11" t="inlineStr">
        <is>
          <t>Razorpay</t>
        </is>
      </c>
      <c r="E172" s="11" t="inlineStr">
        <is>
          <t>Key ID format</t>
        </is>
      </c>
      <c r="F172" s="11" t="inlineStr">
        <is>
          <t>A key ID must start with rzp_test_ or rzp_live_.</t>
        </is>
      </c>
      <c r="G172" s="11" t="inlineStr">
        <is>
          <t>Signed in as Home Orbit's owner (or super admin with Manage store on Home Orbit)</t>
        </is>
      </c>
      <c r="H172" s="11" t="inlineStr">
        <is>
          <t>Key ID "abc"</t>
        </is>
      </c>
      <c r="I172" s="11" t="inlineStr">
        <is>
          <t>1. Type abc
2. Save
3. Verify the expected result.</t>
        </is>
      </c>
      <c r="J172" s="11" t="inlineStr">
        <is>
          <t>"A Razorpay key ID starts with rzp_test_ or rzp_live_".</t>
        </is>
      </c>
      <c r="K172" s="11" t="inlineStr"/>
      <c r="L172" s="11" t="inlineStr">
        <is>
          <t>Not Run</t>
        </is>
      </c>
      <c r="M172" s="11" t="inlineStr">
        <is>
          <t>High</t>
        </is>
      </c>
      <c r="N172" s="11" t="inlineStr">
        <is>
          <t>Validation</t>
        </is>
      </c>
      <c r="O172" s="11" t="inlineStr"/>
      <c r="P172" s="11" t="inlineStr"/>
      <c r="Q172" s="11" t="inlineStr"/>
      <c r="R172" s="11" t="inlineStr"/>
      <c r="S172" s="11" t="inlineStr">
        <is>
          <t>Store owner</t>
        </is>
      </c>
      <c r="T172" s="11" t="inlineStr">
        <is>
          <t>No</t>
        </is>
      </c>
      <c r="U172" s="11" t="inlineStr">
        <is>
          <t>docs/qa/regression/vendor-cms/VC-25-payments.md</t>
        </is>
      </c>
    </row>
    <row r="173">
      <c r="A173" s="11" t="inlineStr">
        <is>
          <t>VC-25-003</t>
        </is>
      </c>
      <c r="B173" s="11" t="inlineStr">
        <is>
          <t>Vendor CMS</t>
        </is>
      </c>
      <c r="C173" s="11" t="inlineStr">
        <is>
          <t>VC-25 · Payments (Razorpay and COD)</t>
        </is>
      </c>
      <c r="D173" s="11" t="inlineStr">
        <is>
          <t>Razorpay</t>
        </is>
      </c>
      <c r="E173" s="11" t="inlineStr">
        <is>
          <t>Secrets saved hidden</t>
        </is>
      </c>
      <c r="F173" s="11" t="inlineStr">
        <is>
          <t>Saved secrets never come back to the browser.</t>
        </is>
      </c>
      <c r="G173" s="11" t="inlineStr">
        <is>
          <t>Signed in as Home Orbit's owner (or super admin with Manage store on Home Orbit)</t>
        </is>
      </c>
      <c r="H173" s="11" t="inlineStr">
        <is>
          <t>rzp_test_AbCdEfGh1234, any secrets</t>
        </is>
      </c>
      <c r="I173" s="11" t="inlineStr">
        <is>
          <t>1. Save the keys
2. Reload
3. Check the page and its network responses for the secret
4. Verify the expected result.</t>
        </is>
      </c>
      <c r="J173" s="11" t="inlineStr">
        <is>
          <t>"Razorpay saved"; secrets read "Saved · hidden" with Replace; the store shows a Test mode note; the secret values appear nowhere.</t>
        </is>
      </c>
      <c r="K173" s="11" t="inlineStr"/>
      <c r="L173" s="11" t="inlineStr">
        <is>
          <t>Not Run</t>
        </is>
      </c>
      <c r="M173" s="11" t="inlineStr">
        <is>
          <t>Critical</t>
        </is>
      </c>
      <c r="N173" s="11" t="inlineStr">
        <is>
          <t>Security/Permissions</t>
        </is>
      </c>
      <c r="O173" s="11" t="inlineStr"/>
      <c r="P173" s="11" t="inlineStr"/>
      <c r="Q173" s="11" t="inlineStr"/>
      <c r="R173" s="11" t="inlineStr"/>
      <c r="S173" s="11" t="inlineStr">
        <is>
          <t>Store owner</t>
        </is>
      </c>
      <c r="T173" s="11" t="inlineStr">
        <is>
          <t>Yes</t>
        </is>
      </c>
      <c r="U173" s="11" t="inlineStr">
        <is>
          <t>docs/qa/regression/vendor-cms/VC-25-payments.md</t>
        </is>
      </c>
    </row>
    <row r="174">
      <c r="A174" s="11" t="inlineStr">
        <is>
          <t>VC-25-004</t>
        </is>
      </c>
      <c r="B174" s="11" t="inlineStr">
        <is>
          <t>Vendor CMS</t>
        </is>
      </c>
      <c r="C174" s="11" t="inlineStr">
        <is>
          <t>VC-25 · Payments (Razorpay and COD)</t>
        </is>
      </c>
      <c r="D174" s="11" t="inlineStr">
        <is>
          <t>Razorpay</t>
        </is>
      </c>
      <c r="E174" s="11" t="inlineStr">
        <is>
          <t>Test connection</t>
        </is>
      </c>
      <c r="F174" s="11" t="inlineStr">
        <is>
          <t>Made-up keys are refused by Razorpay.</t>
        </is>
      </c>
      <c r="G174" s="11" t="inlineStr">
        <is>
          <t>Made-up keys saved</t>
        </is>
      </c>
      <c r="H174" s="11" t="inlineStr">
        <is>
          <t>—</t>
        </is>
      </c>
      <c r="I174" s="11" t="inlineStr">
        <is>
          <t>1. Press Test connection
2. Verify the expected result.</t>
        </is>
      </c>
      <c r="J174" s="11" t="inlineStr">
        <is>
          <t>The pill says "Keys refused" with the reason; real test keys say "Razorpay accepted the test keys".</t>
        </is>
      </c>
      <c r="K174" s="11" t="inlineStr"/>
      <c r="L174" s="11" t="inlineStr">
        <is>
          <t>Not Run</t>
        </is>
      </c>
      <c r="M174" s="11" t="inlineStr">
        <is>
          <t>High</t>
        </is>
      </c>
      <c r="N174" s="11" t="inlineStr">
        <is>
          <t>Integration</t>
        </is>
      </c>
      <c r="O174" s="11" t="inlineStr"/>
      <c r="P174" s="11" t="inlineStr"/>
      <c r="Q174" s="11" t="inlineStr"/>
      <c r="R174" s="11" t="inlineStr"/>
      <c r="S174" s="11" t="inlineStr">
        <is>
          <t>Store owner</t>
        </is>
      </c>
      <c r="T174" s="11" t="inlineStr">
        <is>
          <t>No</t>
        </is>
      </c>
      <c r="U174" s="11" t="inlineStr">
        <is>
          <t>docs/qa/regression/vendor-cms/VC-25-payments.md</t>
        </is>
      </c>
    </row>
    <row r="175">
      <c r="A175" s="11" t="inlineStr">
        <is>
          <t>VC-25-005</t>
        </is>
      </c>
      <c r="B175" s="11" t="inlineStr">
        <is>
          <t>Vendor CMS</t>
        </is>
      </c>
      <c r="C175" s="11" t="inlineStr">
        <is>
          <t>VC-25 · Payments (Razorpay and COD)</t>
        </is>
      </c>
      <c r="D175" s="11" t="inlineStr">
        <is>
          <t>COD</t>
        </is>
      </c>
      <c r="E175" s="11" t="inlineStr">
        <is>
          <t>Cash on delivery rules</t>
        </is>
      </c>
      <c r="F175" s="11" t="inlineStr">
        <is>
          <t>COD rules save and apply at checkout.</t>
        </is>
      </c>
      <c r="G175" s="11" t="inlineStr">
        <is>
          <t>Signed in as Home Orbit's owner (or super admin with Manage store on Home Orbit); cod feature on</t>
        </is>
      </c>
      <c r="H175" s="11" t="inlineStr">
        <is>
          <t>On, min ₹499, max ₹25,000, fee ₹49</t>
        </is>
      </c>
      <c r="I175" s="11" t="inlineStr">
        <is>
          <t>1. Switch COD on with the values
2. Save
3. Check a cart of ₹300 and one of ₹600 at checkout
4. Verify the expected result.</t>
        </is>
      </c>
      <c r="J175" s="11" t="inlineStr">
        <is>
          <t>Saved; COD is not offered for ₹300, offered for ₹600 with the ₹49 fee.</t>
        </is>
      </c>
      <c r="K175" s="11" t="inlineStr"/>
      <c r="L175" s="11" t="inlineStr">
        <is>
          <t>Not Run</t>
        </is>
      </c>
      <c r="M175" s="11" t="inlineStr">
        <is>
          <t>Critical</t>
        </is>
      </c>
      <c r="N175" s="11" t="inlineStr">
        <is>
          <t>Boundary</t>
        </is>
      </c>
      <c r="O175" s="11" t="inlineStr"/>
      <c r="P175" s="11" t="inlineStr"/>
      <c r="Q175" s="11" t="inlineStr"/>
      <c r="R175" s="11" t="inlineStr">
        <is>
          <t>Also: Integration</t>
        </is>
      </c>
      <c r="S175" s="11" t="inlineStr">
        <is>
          <t>Store owner</t>
        </is>
      </c>
      <c r="T175" s="11" t="inlineStr">
        <is>
          <t>No</t>
        </is>
      </c>
      <c r="U175" s="11" t="inlineStr">
        <is>
          <t>docs/qa/regression/vendor-cms/VC-25-payments.md</t>
        </is>
      </c>
    </row>
    <row r="176">
      <c r="A176" s="11" t="inlineStr">
        <is>
          <t>VC-25-006</t>
        </is>
      </c>
      <c r="B176" s="11" t="inlineStr">
        <is>
          <t>Vendor CMS</t>
        </is>
      </c>
      <c r="C176" s="11" t="inlineStr">
        <is>
          <t>VC-25 · Payments (Razorpay and COD)</t>
        </is>
      </c>
      <c r="D176" s="11" t="inlineStr">
        <is>
          <t>COD</t>
        </is>
      </c>
      <c r="E176" s="11" t="inlineStr">
        <is>
          <t>Min above max</t>
        </is>
      </c>
      <c r="F176" s="11" t="inlineStr">
        <is>
          <t>A minimum above the maximum is refused.</t>
        </is>
      </c>
      <c r="G176" s="11" t="inlineStr">
        <is>
          <t>Signed in as Home Orbit's owner (or super admin with Manage store on Home Orbit)</t>
        </is>
      </c>
      <c r="H176" s="11" t="inlineStr">
        <is>
          <t>Min ₹30,000, max ₹25,000</t>
        </is>
      </c>
      <c r="I176" s="11" t="inlineStr">
        <is>
          <t>1. Save
2. Verify the expected result.</t>
        </is>
      </c>
      <c r="J176" s="11" t="inlineStr">
        <is>
          <t>Refused with a message.</t>
        </is>
      </c>
      <c r="K176" s="11" t="inlineStr"/>
      <c r="L176" s="11" t="inlineStr">
        <is>
          <t>Not Run</t>
        </is>
      </c>
      <c r="M176" s="11" t="inlineStr">
        <is>
          <t>Medium</t>
        </is>
      </c>
      <c r="N176" s="11" t="inlineStr">
        <is>
          <t>Validation</t>
        </is>
      </c>
      <c r="O176" s="11" t="inlineStr"/>
      <c r="P176" s="11" t="inlineStr"/>
      <c r="Q176" s="11" t="inlineStr"/>
      <c r="R176" s="11" t="inlineStr"/>
      <c r="S176" s="11" t="inlineStr">
        <is>
          <t>Store owner</t>
        </is>
      </c>
      <c r="T176" s="11" t="inlineStr">
        <is>
          <t>No</t>
        </is>
      </c>
      <c r="U176" s="11" t="inlineStr">
        <is>
          <t>docs/qa/regression/vendor-cms/VC-25-payments.md</t>
        </is>
      </c>
    </row>
    <row r="177">
      <c r="A177" s="11" t="inlineStr">
        <is>
          <t>VC-25-007</t>
        </is>
      </c>
      <c r="B177" s="11" t="inlineStr">
        <is>
          <t>Vendor CMS</t>
        </is>
      </c>
      <c r="C177" s="11" t="inlineStr">
        <is>
          <t>VC-25 · Payments (Razorpay and COD)</t>
        </is>
      </c>
      <c r="D177" s="11" t="inlineStr">
        <is>
          <t>Permissions</t>
        </is>
      </c>
      <c r="E177" s="11" t="inlineStr">
        <is>
          <t>Owner only</t>
        </is>
      </c>
      <c r="F177" s="11" t="inlineStr">
        <is>
          <t>Managers and editors never see keys.</t>
        </is>
      </c>
      <c r="G177" s="11" t="inlineStr">
        <is>
          <t>Signed in as Manager</t>
        </is>
      </c>
      <c r="H177" s="11" t="inlineStr">
        <is>
          <t>http://localhost:3000/admin/payments</t>
        </is>
      </c>
      <c r="I177" s="11" t="inlineStr">
        <is>
          <t>1. Look for Payments
2. Open the address
3. Verify the expected result.</t>
        </is>
      </c>
      <c r="J177" s="11" t="inlineStr">
        <is>
          <t>Not in the menu; the page says only the owner sees keys.</t>
        </is>
      </c>
      <c r="K177" s="11" t="inlineStr"/>
      <c r="L177" s="11" t="inlineStr">
        <is>
          <t>Not Run</t>
        </is>
      </c>
      <c r="M177" s="11" t="inlineStr">
        <is>
          <t>Critical</t>
        </is>
      </c>
      <c r="N177" s="11" t="inlineStr">
        <is>
          <t>Security/Permissions</t>
        </is>
      </c>
      <c r="O177" s="11" t="inlineStr"/>
      <c r="P177" s="11" t="inlineStr"/>
      <c r="Q177" s="11" t="inlineStr"/>
      <c r="R177" s="11" t="inlineStr"/>
      <c r="S177" s="11" t="inlineStr">
        <is>
          <t>Store manager</t>
        </is>
      </c>
      <c r="T177" s="11" t="inlineStr">
        <is>
          <t>No</t>
        </is>
      </c>
      <c r="U177" s="11" t="inlineStr">
        <is>
          <t>docs/qa/regression/vendor-cms/VC-25-payments.md</t>
        </is>
      </c>
    </row>
    <row r="178">
      <c r="A178" s="11" t="inlineStr">
        <is>
          <t>VC-26-001</t>
        </is>
      </c>
      <c r="B178" s="11" t="inlineStr">
        <is>
          <t>Vendor CMS</t>
        </is>
      </c>
      <c r="C178" s="11" t="inlineStr">
        <is>
          <t>VC-26 · WhatsApp and SMS</t>
        </is>
      </c>
      <c r="D178" s="11" t="inlineStr">
        <is>
          <t>WhatsApp</t>
        </is>
      </c>
      <c r="E178" s="11" t="inlineStr">
        <is>
          <t>Form and webhook</t>
        </is>
      </c>
      <c r="F178" s="11" t="inlineStr">
        <is>
          <t>The WhatsApp form and Meta webhook details show.</t>
        </is>
      </c>
      <c r="G178" s="11" t="inlineStr">
        <is>
          <t>Signed in as Home Orbit's owner (or super admin with Manage store on Home Orbit)</t>
        </is>
      </c>
      <c r="H178" s="11" t="inlineStr">
        <is>
          <t>—</t>
        </is>
      </c>
      <c r="I178" s="11" t="inlineStr">
        <is>
          <t>1. Open Store → WhatsApp and SMS
2. Verify the expected result.</t>
        </is>
      </c>
      <c r="J178" s="11" t="inlineStr">
        <is>
          <t>Phone number ID, business account ID, access token, app secret; webhook address and verify token; SMS "comes later"; email sent by the platform.</t>
        </is>
      </c>
      <c r="K178" s="11" t="inlineStr"/>
      <c r="L178" s="11" t="inlineStr">
        <is>
          <t>Not Run</t>
        </is>
      </c>
      <c r="M178" s="11" t="inlineStr">
        <is>
          <t>Medium</t>
        </is>
      </c>
      <c r="N178" s="11" t="inlineStr">
        <is>
          <t>UI/UX</t>
        </is>
      </c>
      <c r="O178" s="11" t="inlineStr"/>
      <c r="P178" s="11" t="inlineStr"/>
      <c r="Q178" s="11" t="inlineStr"/>
      <c r="R178" s="11" t="inlineStr"/>
      <c r="S178" s="11" t="inlineStr">
        <is>
          <t>Store owner</t>
        </is>
      </c>
      <c r="T178" s="11" t="inlineStr">
        <is>
          <t>No</t>
        </is>
      </c>
      <c r="U178" s="11" t="inlineStr">
        <is>
          <t>docs/qa/regression/vendor-cms/VC-26-messaging.md</t>
        </is>
      </c>
    </row>
    <row r="179">
      <c r="A179" s="11" t="inlineStr">
        <is>
          <t>VC-26-002</t>
        </is>
      </c>
      <c r="B179" s="11" t="inlineStr">
        <is>
          <t>Vendor CMS</t>
        </is>
      </c>
      <c r="C179" s="11" t="inlineStr">
        <is>
          <t>VC-26 · WhatsApp and SMS</t>
        </is>
      </c>
      <c r="D179" s="11" t="inlineStr">
        <is>
          <t>Templates</t>
        </is>
      </c>
      <c r="E179" s="11" t="inlineStr">
        <is>
          <t>Message templates</t>
        </is>
      </c>
      <c r="F179" s="11" t="inlineStr">
        <is>
          <t>Templates are listed with approval state.</t>
        </is>
      </c>
      <c r="G179" s="11" t="inlineStr">
        <is>
          <t>Signed in as Home Orbit's owner (or super admin with Manage store on Home Orbit)</t>
        </is>
      </c>
      <c r="H179" s="11" t="inlineStr">
        <is>
          <t>—</t>
        </is>
      </c>
      <c r="I179" s="11" t="inlineStr">
        <is>
          <t>1. Read Message templates
2. Verify the expected result.</t>
        </is>
      </c>
      <c r="J179" s="11" t="inlineStr">
        <is>
          <t>14 templates in the store's name, "0 of 14 approved"; Submit to Meta needs WhatsApp connected.</t>
        </is>
      </c>
      <c r="K179" s="11" t="inlineStr"/>
      <c r="L179" s="11" t="inlineStr">
        <is>
          <t>Not Run</t>
        </is>
      </c>
      <c r="M179" s="11" t="inlineStr">
        <is>
          <t>Medium</t>
        </is>
      </c>
      <c r="N179" s="11" t="inlineStr">
        <is>
          <t>Functional</t>
        </is>
      </c>
      <c r="O179" s="11" t="inlineStr"/>
      <c r="P179" s="11" t="inlineStr"/>
      <c r="Q179" s="11" t="inlineStr"/>
      <c r="R179" s="11" t="inlineStr"/>
      <c r="S179" s="11" t="inlineStr">
        <is>
          <t>Store owner</t>
        </is>
      </c>
      <c r="T179" s="11" t="inlineStr">
        <is>
          <t>No</t>
        </is>
      </c>
      <c r="U179" s="11" t="inlineStr">
        <is>
          <t>docs/qa/regression/vendor-cms/VC-26-messaging.md</t>
        </is>
      </c>
    </row>
    <row r="180">
      <c r="A180" s="11" t="inlineStr">
        <is>
          <t>VC-26-003</t>
        </is>
      </c>
      <c r="B180" s="11" t="inlineStr">
        <is>
          <t>Vendor CMS</t>
        </is>
      </c>
      <c r="C180" s="11" t="inlineStr">
        <is>
          <t>VC-26 · WhatsApp and SMS</t>
        </is>
      </c>
      <c r="D180" s="11" t="inlineStr">
        <is>
          <t>WhatsApp</t>
        </is>
      </c>
      <c r="E180" s="11" t="inlineStr">
        <is>
          <t>Secrets hidden</t>
        </is>
      </c>
      <c r="F180" s="11" t="inlineStr">
        <is>
          <t>Saved WhatsApp secrets are hidden.</t>
        </is>
      </c>
      <c r="G180" s="11" t="inlineStr">
        <is>
          <t>Signed in as Home Orbit's owner (or super admin with Manage store on Home Orbit)</t>
        </is>
      </c>
      <c r="H180" s="11" t="inlineStr">
        <is>
          <t>Any token and app secret</t>
        </is>
      </c>
      <c r="I180" s="11" t="inlineStr">
        <is>
          <t>1. Save
2. Reload
3. Verify the expected result.</t>
        </is>
      </c>
      <c r="J180" s="11" t="inlineStr">
        <is>
          <t>Secrets read "Saved · hidden"; never shown again.</t>
        </is>
      </c>
      <c r="K180" s="11" t="inlineStr"/>
      <c r="L180" s="11" t="inlineStr">
        <is>
          <t>Not Run</t>
        </is>
      </c>
      <c r="M180" s="11" t="inlineStr">
        <is>
          <t>High</t>
        </is>
      </c>
      <c r="N180" s="11" t="inlineStr">
        <is>
          <t>Security/Permissions</t>
        </is>
      </c>
      <c r="O180" s="11" t="inlineStr"/>
      <c r="P180" s="11" t="inlineStr"/>
      <c r="Q180" s="11" t="inlineStr"/>
      <c r="R180" s="11" t="inlineStr"/>
      <c r="S180" s="11" t="inlineStr">
        <is>
          <t>Store owner</t>
        </is>
      </c>
      <c r="T180" s="11" t="inlineStr">
        <is>
          <t>No</t>
        </is>
      </c>
      <c r="U180" s="11" t="inlineStr">
        <is>
          <t>docs/qa/regression/vendor-cms/VC-26-messaging.md</t>
        </is>
      </c>
    </row>
    <row r="181">
      <c r="A181" s="11" t="inlineStr">
        <is>
          <t>VC-26-004</t>
        </is>
      </c>
      <c r="B181" s="11" t="inlineStr">
        <is>
          <t>Vendor CMS</t>
        </is>
      </c>
      <c r="C181" s="11" t="inlineStr">
        <is>
          <t>VC-26 · WhatsApp and SMS</t>
        </is>
      </c>
      <c r="D181" s="11" t="inlineStr">
        <is>
          <t>Permissions</t>
        </is>
      </c>
      <c r="E181" s="11" t="inlineStr">
        <is>
          <t>Owner only</t>
        </is>
      </c>
      <c r="F181" s="11" t="inlineStr">
        <is>
          <t>Only the owner sees WhatsApp keys.</t>
        </is>
      </c>
      <c r="G181" s="11" t="inlineStr">
        <is>
          <t>Signed in as Manager</t>
        </is>
      </c>
      <c r="H181" s="11" t="inlineStr">
        <is>
          <t>http://localhost:3000/admin/messaging</t>
        </is>
      </c>
      <c r="I181" s="11" t="inlineStr">
        <is>
          <t>1. Open the address
2. Verify the expected result.</t>
        </is>
      </c>
      <c r="J181" s="11" t="inlineStr">
        <is>
          <t>Refused; not in the menu.</t>
        </is>
      </c>
      <c r="K181" s="11" t="inlineStr"/>
      <c r="L181" s="11" t="inlineStr">
        <is>
          <t>Not Run</t>
        </is>
      </c>
      <c r="M181" s="11" t="inlineStr">
        <is>
          <t>High</t>
        </is>
      </c>
      <c r="N181" s="11" t="inlineStr">
        <is>
          <t>Security/Permissions</t>
        </is>
      </c>
      <c r="O181" s="11" t="inlineStr"/>
      <c r="P181" s="11" t="inlineStr"/>
      <c r="Q181" s="11" t="inlineStr"/>
      <c r="R181" s="11" t="inlineStr"/>
      <c r="S181" s="11" t="inlineStr">
        <is>
          <t>Store manager</t>
        </is>
      </c>
      <c r="T181" s="11" t="inlineStr">
        <is>
          <t>No</t>
        </is>
      </c>
      <c r="U181" s="11" t="inlineStr">
        <is>
          <t>docs/qa/regression/vendor-cms/VC-26-messaging.md</t>
        </is>
      </c>
    </row>
    <row r="182">
      <c r="A182" s="11" t="inlineStr">
        <is>
          <t>VC-27-001</t>
        </is>
      </c>
      <c r="B182" s="11" t="inlineStr">
        <is>
          <t>Vendor CMS</t>
        </is>
      </c>
      <c r="C182" s="11" t="inlineStr">
        <is>
          <t>VC-27 · Order updates</t>
        </is>
      </c>
      <c r="D182" s="11" t="inlineStr">
        <is>
          <t>Channels</t>
        </is>
      </c>
      <c r="E182" s="11" t="inlineStr">
        <is>
          <t>Channel states</t>
        </is>
      </c>
      <c r="F182" s="11" t="inlineStr">
        <is>
          <t>Order updates shows each channel and the steps.</t>
        </is>
      </c>
      <c r="G182" s="11" t="inlineStr">
        <is>
          <t>Signed in as Home Orbit's owner (or super admin with Manage store on Home Orbit)</t>
        </is>
      </c>
      <c r="H182" s="11" t="inlineStr">
        <is>
          <t>—</t>
        </is>
      </c>
      <c r="I182" s="11" t="inlineStr">
        <is>
          <t>1. Open Store → Order updates
2. Verify the expected result.</t>
        </is>
      </c>
      <c r="J182" s="11" t="inlineStr">
        <is>
          <t>WhatsApp "Not connected", SMS "Comes later", Email "Ready"; a row per step with Email and WhatsApp switches.</t>
        </is>
      </c>
      <c r="K182" s="11" t="inlineStr"/>
      <c r="L182" s="11" t="inlineStr">
        <is>
          <t>Not Run</t>
        </is>
      </c>
      <c r="M182" s="11" t="inlineStr">
        <is>
          <t>High</t>
        </is>
      </c>
      <c r="N182" s="11" t="inlineStr">
        <is>
          <t>UI/UX</t>
        </is>
      </c>
      <c r="O182" s="11" t="inlineStr"/>
      <c r="P182" s="11" t="inlineStr"/>
      <c r="Q182" s="11" t="inlineStr"/>
      <c r="R182" s="11" t="inlineStr"/>
      <c r="S182" s="11" t="inlineStr">
        <is>
          <t>Store owner</t>
        </is>
      </c>
      <c r="T182" s="11" t="inlineStr">
        <is>
          <t>No</t>
        </is>
      </c>
      <c r="U182" s="11" t="inlineStr">
        <is>
          <t>docs/qa/regression/vendor-cms/VC-27-order-updates.md</t>
        </is>
      </c>
    </row>
    <row r="183">
      <c r="A183" s="11" t="inlineStr">
        <is>
          <t>VC-27-002</t>
        </is>
      </c>
      <c r="B183" s="11" t="inlineStr">
        <is>
          <t>Vendor CMS</t>
        </is>
      </c>
      <c r="C183" s="11" t="inlineStr">
        <is>
          <t>VC-27 · Order updates</t>
        </is>
      </c>
      <c r="D183" s="11" t="inlineStr">
        <is>
          <t>Preview</t>
        </is>
      </c>
      <c r="E183" s="11" t="inlineStr">
        <is>
          <t>Preview and send test</t>
        </is>
      </c>
      <c r="F183" s="11" t="inlineStr">
        <is>
          <t>Previews use a sample order; the test prints in the terminal.</t>
        </is>
      </c>
      <c r="G183" s="11" t="inlineStr">
        <is>
          <t>Signed in as Home Orbit's owner (or super admin with Manage store on Home Orbit)</t>
        </is>
      </c>
      <c r="H183" s="11" t="inlineStr">
        <is>
          <t>Your email</t>
        </is>
      </c>
      <c r="I183" s="11" t="inlineStr">
        <is>
          <t>1. Pick "Shipped · WhatsApp", then "Order confirmed (COD) · Email"
2. Type your email and Send test to my email
3. Verify the expected result.</t>
        </is>
      </c>
      <c r="J183" s="11" t="inlineStr">
        <is>
          <t>The text uses a sample order with the store's name; the email prints in the terminal.</t>
        </is>
      </c>
      <c r="K183" s="11" t="inlineStr"/>
      <c r="L183" s="11" t="inlineStr">
        <is>
          <t>Not Run</t>
        </is>
      </c>
      <c r="M183" s="11" t="inlineStr">
        <is>
          <t>Medium</t>
        </is>
      </c>
      <c r="N183" s="11" t="inlineStr">
        <is>
          <t>Functional</t>
        </is>
      </c>
      <c r="O183" s="11" t="inlineStr"/>
      <c r="P183" s="11" t="inlineStr"/>
      <c r="Q183" s="11" t="inlineStr"/>
      <c r="R183" s="11" t="inlineStr"/>
      <c r="S183" s="11" t="inlineStr">
        <is>
          <t>Store owner</t>
        </is>
      </c>
      <c r="T183" s="11" t="inlineStr">
        <is>
          <t>No</t>
        </is>
      </c>
      <c r="U183" s="11" t="inlineStr">
        <is>
          <t>docs/qa/regression/vendor-cms/VC-27-order-updates.md</t>
        </is>
      </c>
    </row>
    <row r="184">
      <c r="A184" s="11" t="inlineStr">
        <is>
          <t>VC-27-003</t>
        </is>
      </c>
      <c r="B184" s="11" t="inlineStr">
        <is>
          <t>Vendor CMS</t>
        </is>
      </c>
      <c r="C184" s="11" t="inlineStr">
        <is>
          <t>VC-27 · Order updates</t>
        </is>
      </c>
      <c r="D184" s="11" t="inlineStr">
        <is>
          <t>Settings</t>
        </is>
      </c>
      <c r="E184" s="11" t="inlineStr">
        <is>
          <t>Save switches and delays</t>
        </is>
      </c>
      <c r="F184" s="11" t="inlineStr">
        <is>
          <t>Switches, delay and alert email persist.</t>
        </is>
      </c>
      <c r="G184" s="11" t="inlineStr">
        <is>
          <t>Signed in as Home Orbit's owner (or super admin with Manage store on Home Orbit)</t>
        </is>
      </c>
      <c r="H184" s="11" t="inlineStr">
        <is>
          <t>Packed email on; delay 5; alert email</t>
        </is>
      </c>
      <c r="I184" s="11" t="inlineStr">
        <is>
          <t>1. Change them
2. Save
3. Reload
4. Verify the expected result.</t>
        </is>
      </c>
      <c r="J184" s="11" t="inlineStr">
        <is>
          <t>The changes stay after reload.</t>
        </is>
      </c>
      <c r="K184" s="11" t="inlineStr"/>
      <c r="L184" s="11" t="inlineStr">
        <is>
          <t>Not Run</t>
        </is>
      </c>
      <c r="M184" s="11" t="inlineStr">
        <is>
          <t>High</t>
        </is>
      </c>
      <c r="N184" s="11" t="inlineStr">
        <is>
          <t>Data persistence</t>
        </is>
      </c>
      <c r="O184" s="11" t="inlineStr"/>
      <c r="P184" s="11" t="inlineStr"/>
      <c r="Q184" s="11" t="inlineStr"/>
      <c r="R184" s="11" t="inlineStr"/>
      <c r="S184" s="11" t="inlineStr">
        <is>
          <t>Store owner</t>
        </is>
      </c>
      <c r="T184" s="11" t="inlineStr">
        <is>
          <t>No</t>
        </is>
      </c>
      <c r="U184" s="11" t="inlineStr">
        <is>
          <t>docs/qa/regression/vendor-cms/VC-27-order-updates.md</t>
        </is>
      </c>
    </row>
    <row r="185">
      <c r="A185" s="11" t="inlineStr">
        <is>
          <t>VC-27-004</t>
        </is>
      </c>
      <c r="B185" s="11" t="inlineStr">
        <is>
          <t>Vendor CMS</t>
        </is>
      </c>
      <c r="C185" s="11" t="inlineStr">
        <is>
          <t>VC-27 · Order updates</t>
        </is>
      </c>
      <c r="D185" s="11" t="inlineStr">
        <is>
          <t>Permissions</t>
        </is>
      </c>
      <c r="E185" s="11" t="inlineStr">
        <is>
          <t>Order manager read-only</t>
        </is>
      </c>
      <c r="F185" s="11" t="inlineStr">
        <is>
          <t>Order managers see the screen without Save.</t>
        </is>
      </c>
      <c r="G185" s="11" t="inlineStr">
        <is>
          <t>Signed in as Order manager</t>
        </is>
      </c>
      <c r="H185" s="11" t="inlineStr">
        <is>
          <t>—</t>
        </is>
      </c>
      <c r="I185" s="11" t="inlineStr">
        <is>
          <t>1. Open Order updates
2. Verify the expected result.</t>
        </is>
      </c>
      <c r="J185" s="11" t="inlineStr">
        <is>
          <t>Switches greyed and no Save.</t>
        </is>
      </c>
      <c r="K185" s="11" t="inlineStr"/>
      <c r="L185" s="11" t="inlineStr">
        <is>
          <t>Not Run</t>
        </is>
      </c>
      <c r="M185" s="11" t="inlineStr">
        <is>
          <t>Medium</t>
        </is>
      </c>
      <c r="N185" s="11" t="inlineStr">
        <is>
          <t>Security/Permissions</t>
        </is>
      </c>
      <c r="O185" s="11" t="inlineStr"/>
      <c r="P185" s="11" t="inlineStr"/>
      <c r="Q185" s="11" t="inlineStr"/>
      <c r="R185" s="11" t="inlineStr"/>
      <c r="S185" s="11" t="inlineStr">
        <is>
          <t>Order manager</t>
        </is>
      </c>
      <c r="T185" s="11" t="inlineStr">
        <is>
          <t>No</t>
        </is>
      </c>
      <c r="U185" s="11" t="inlineStr">
        <is>
          <t>docs/qa/regression/vendor-cms/VC-27-order-updates.md</t>
        </is>
      </c>
    </row>
    <row r="186">
      <c r="A186" s="11" t="inlineStr">
        <is>
          <t>VC-27-005</t>
        </is>
      </c>
      <c r="B186" s="11" t="inlineStr">
        <is>
          <t>Vendor CMS</t>
        </is>
      </c>
      <c r="C186" s="11" t="inlineStr">
        <is>
          <t>VC-27 · Order updates</t>
        </is>
      </c>
      <c r="D186" s="11" t="inlineStr">
        <is>
          <t>Quiet hours</t>
        </is>
      </c>
      <c r="E186" s="11" t="inlineStr">
        <is>
          <t>Night messages wait</t>
        </is>
      </c>
      <c r="F186" s="11" t="inlineStr">
        <is>
          <t>Messages after 21:00 wait until 09:00 (except out for delivery and failed).</t>
        </is>
      </c>
      <c r="G186" s="11" t="inlineStr">
        <is>
          <t>An order changed after 21:00</t>
        </is>
      </c>
      <c r="H186" s="11" t="inlineStr">
        <is>
          <t>—</t>
        </is>
      </c>
      <c r="I186" s="11" t="inlineStr">
        <is>
          <t>1. Mark an order packed after 21:00
2. Read Messages to the shopper
3. Verify the expected result.</t>
        </is>
      </c>
      <c r="J186" s="11" t="inlineStr">
        <is>
          <t>The message shows "Goes out at 09:00".</t>
        </is>
      </c>
      <c r="K186" s="11" t="inlineStr"/>
      <c r="L186" s="11" t="inlineStr">
        <is>
          <t>Not Run</t>
        </is>
      </c>
      <c r="M186" s="11" t="inlineStr">
        <is>
          <t>Low</t>
        </is>
      </c>
      <c r="N186" s="11" t="inlineStr">
        <is>
          <t>Boundary</t>
        </is>
      </c>
      <c r="O186" s="11" t="inlineStr"/>
      <c r="P186" s="11" t="inlineStr"/>
      <c r="Q186" s="11" t="inlineStr"/>
      <c r="R186" s="11" t="inlineStr"/>
      <c r="S186" s="11" t="inlineStr">
        <is>
          <t>Store owner</t>
        </is>
      </c>
      <c r="T186" s="11" t="inlineStr">
        <is>
          <t>No</t>
        </is>
      </c>
      <c r="U186" s="11" t="inlineStr">
        <is>
          <t>docs/qa/regression/vendor-cms/VC-27-order-updates.md</t>
        </is>
      </c>
    </row>
    <row r="187">
      <c r="A187" s="11" t="inlineStr">
        <is>
          <t>VC-28-001</t>
        </is>
      </c>
      <c r="B187" s="11" t="inlineStr">
        <is>
          <t>Vendor CMS</t>
        </is>
      </c>
      <c r="C187" s="11" t="inlineStr">
        <is>
          <t>VC-28 · Staff and roles</t>
        </is>
      </c>
      <c r="D187" s="11" t="inlineStr">
        <is>
          <t>Invite</t>
        </is>
      </c>
      <c r="E187" s="11" t="inlineStr">
        <is>
          <t>Role required</t>
        </is>
      </c>
      <c r="F187" s="11" t="inlineStr">
        <is>
          <t>An invite needs at least one role.</t>
        </is>
      </c>
      <c r="G187" s="11" t="inlineStr">
        <is>
          <t>Signed in as Home Orbit's owner (or super admin with Manage store on Home Orbit)</t>
        </is>
      </c>
      <c r="H187" s="11" t="inlineStr">
        <is>
          <t>editor@homeorbit.example, Cat Editor, no role</t>
        </is>
      </c>
      <c r="I187" s="11" t="inlineStr">
        <is>
          <t>1. Open Store → Staff and roles
2. Fill email and name without a role
3. Verify the expected result.</t>
        </is>
      </c>
      <c r="J187" s="11" t="inlineStr">
        <is>
          <t>Send invite stays grey until a role is ticked.</t>
        </is>
      </c>
      <c r="K187" s="11" t="inlineStr"/>
      <c r="L187" s="11" t="inlineStr">
        <is>
          <t>Not Run</t>
        </is>
      </c>
      <c r="M187" s="11" t="inlineStr">
        <is>
          <t>High</t>
        </is>
      </c>
      <c r="N187" s="11" t="inlineStr">
        <is>
          <t>Validation</t>
        </is>
      </c>
      <c r="O187" s="11" t="inlineStr"/>
      <c r="P187" s="11" t="inlineStr"/>
      <c r="Q187" s="11" t="inlineStr"/>
      <c r="R187" s="11" t="inlineStr"/>
      <c r="S187" s="11" t="inlineStr">
        <is>
          <t>Store owner</t>
        </is>
      </c>
      <c r="T187" s="11" t="inlineStr">
        <is>
          <t>No</t>
        </is>
      </c>
      <c r="U187" s="11" t="inlineStr">
        <is>
          <t>docs/qa/regression/vendor-cms/VC-28-staff.md</t>
        </is>
      </c>
    </row>
    <row r="188">
      <c r="A188" s="11" t="inlineStr">
        <is>
          <t>VC-28-002</t>
        </is>
      </c>
      <c r="B188" s="11" t="inlineStr">
        <is>
          <t>Vendor CMS</t>
        </is>
      </c>
      <c r="C188" s="11" t="inlineStr">
        <is>
          <t>VC-28 · Staff and roles</t>
        </is>
      </c>
      <c r="D188" s="11" t="inlineStr">
        <is>
          <t>Invite</t>
        </is>
      </c>
      <c r="E188" s="11" t="inlineStr">
        <is>
          <t>Invite catalog editor</t>
        </is>
      </c>
      <c r="F188" s="11" t="inlineStr">
        <is>
          <t>The invite email prints with a link.</t>
        </is>
      </c>
      <c r="G188" s="11" t="inlineStr">
        <is>
          <t>Signed in as Home Orbit's owner (or super admin with Manage store on Home Orbit)</t>
        </is>
      </c>
      <c r="H188" s="11" t="inlineStr">
        <is>
          <t>editor@homeorbit.example, Catalog editor</t>
        </is>
      </c>
      <c r="I188" s="11" t="inlineStr">
        <is>
          <t>1. Tick Catalog editor
2. Send invite
3. Verify the expected result.</t>
        </is>
      </c>
      <c r="J188" s="11" t="inlineStr">
        <is>
          <t>"Invite emailed to editor@homeorbit.example" and the email with a link in the terminal.</t>
        </is>
      </c>
      <c r="K188" s="11" t="inlineStr"/>
      <c r="L188" s="11" t="inlineStr">
        <is>
          <t>Not Run</t>
        </is>
      </c>
      <c r="M188" s="11" t="inlineStr">
        <is>
          <t>Critical</t>
        </is>
      </c>
      <c r="N188" s="11" t="inlineStr">
        <is>
          <t>Functional</t>
        </is>
      </c>
      <c r="O188" s="11" t="inlineStr"/>
      <c r="P188" s="11" t="inlineStr"/>
      <c r="Q188" s="11" t="inlineStr"/>
      <c r="R188" s="11" t="inlineStr"/>
      <c r="S188" s="11" t="inlineStr">
        <is>
          <t>Store owner</t>
        </is>
      </c>
      <c r="T188" s="11" t="inlineStr">
        <is>
          <t>Yes</t>
        </is>
      </c>
      <c r="U188" s="11" t="inlineStr">
        <is>
          <t>docs/qa/regression/vendor-cms/VC-28-staff.md</t>
        </is>
      </c>
    </row>
    <row r="189">
      <c r="A189" s="11" t="inlineStr">
        <is>
          <t>VC-28-003</t>
        </is>
      </c>
      <c r="B189" s="11" t="inlineStr">
        <is>
          <t>Vendor CMS</t>
        </is>
      </c>
      <c r="C189" s="11" t="inlineStr">
        <is>
          <t>VC-28 · Staff and roles</t>
        </is>
      </c>
      <c r="D189" s="11" t="inlineStr">
        <is>
          <t>Access</t>
        </is>
      </c>
      <c r="E189" s="11" t="inlineStr">
        <is>
          <t>Catalog editor menu</t>
        </is>
      </c>
      <c r="F189" s="11" t="inlineStr">
        <is>
          <t>The catalog editor sees only their areas.</t>
        </is>
      </c>
      <c r="G189" s="11" t="inlineStr">
        <is>
          <t>Editor set a password from the link (third window)</t>
        </is>
      </c>
      <c r="H189" s="11" t="inlineStr">
        <is>
          <t>—</t>
        </is>
      </c>
      <c r="I189" s="11" t="inlineStr">
        <is>
          <t>1. Sign in as the editor
2. Read the menu
3. Open http://localhost:3000/admin/collections/enquiries and http://localhost:3000/admin/staff
4. Verify the expected result.</t>
        </is>
      </c>
      <c r="J189" s="11" t="inlineStr">
        <is>
          <t>Catalog, Content and Store settings; no Sales or Marketing; enquiries "Nothing found"; staff "Only the store owner manages staff."</t>
        </is>
      </c>
      <c r="K189" s="11" t="inlineStr"/>
      <c r="L189" s="11" t="inlineStr">
        <is>
          <t>Not Run</t>
        </is>
      </c>
      <c r="M189" s="11" t="inlineStr">
        <is>
          <t>Critical</t>
        </is>
      </c>
      <c r="N189" s="11" t="inlineStr">
        <is>
          <t>Security/Permissions</t>
        </is>
      </c>
      <c r="O189" s="11" t="inlineStr"/>
      <c r="P189" s="11" t="inlineStr"/>
      <c r="Q189" s="11" t="inlineStr"/>
      <c r="R189" s="11" t="inlineStr"/>
      <c r="S189" s="11" t="inlineStr">
        <is>
          <t>Catalog editor</t>
        </is>
      </c>
      <c r="T189" s="11" t="inlineStr">
        <is>
          <t>Yes</t>
        </is>
      </c>
      <c r="U189" s="11" t="inlineStr">
        <is>
          <t>docs/qa/regression/vendor-cms/VC-28-staff.md</t>
        </is>
      </c>
    </row>
    <row r="190">
      <c r="A190" s="11" t="inlineStr">
        <is>
          <t>VC-28-004</t>
        </is>
      </c>
      <c r="B190" s="11" t="inlineStr">
        <is>
          <t>Vendor CMS</t>
        </is>
      </c>
      <c r="C190" s="11" t="inlineStr">
        <is>
          <t>VC-28 · Staff and roles</t>
        </is>
      </c>
      <c r="D190" s="11" t="inlineStr">
        <is>
          <t>Roles</t>
        </is>
      </c>
      <c r="E190" s="11" t="inlineStr">
        <is>
          <t>Change roles</t>
        </is>
      </c>
      <c r="F190" s="11" t="inlineStr">
        <is>
          <t>The owner adds a role.</t>
        </is>
      </c>
      <c r="G190" s="11" t="inlineStr">
        <is>
          <t>Editor exists</t>
        </is>
      </c>
      <c r="H190" s="11" t="inlineStr">
        <is>
          <t>Add Content editor</t>
        </is>
      </c>
      <c r="I190" s="11" t="inlineStr">
        <is>
          <t>1. Press Change roles
2. Tick Content editor
3. Save
4. Verify the expected result.</t>
        </is>
      </c>
      <c r="J190" s="11" t="inlineStr">
        <is>
          <t>The editor now has both roles; their menu follows on reload.</t>
        </is>
      </c>
      <c r="K190" s="11" t="inlineStr"/>
      <c r="L190" s="11" t="inlineStr">
        <is>
          <t>Not Run</t>
        </is>
      </c>
      <c r="M190" s="11" t="inlineStr">
        <is>
          <t>Medium</t>
        </is>
      </c>
      <c r="N190" s="11" t="inlineStr">
        <is>
          <t>Functional</t>
        </is>
      </c>
      <c r="O190" s="11" t="inlineStr"/>
      <c r="P190" s="11" t="inlineStr"/>
      <c r="Q190" s="11" t="inlineStr"/>
      <c r="R190" s="11" t="inlineStr"/>
      <c r="S190" s="11" t="inlineStr">
        <is>
          <t>Store owner</t>
        </is>
      </c>
      <c r="T190" s="11" t="inlineStr">
        <is>
          <t>No</t>
        </is>
      </c>
      <c r="U190" s="11" t="inlineStr">
        <is>
          <t>docs/qa/regression/vendor-cms/VC-28-staff.md</t>
        </is>
      </c>
    </row>
    <row r="191">
      <c r="A191" s="11" t="inlineStr">
        <is>
          <t>VC-28-005</t>
        </is>
      </c>
      <c r="B191" s="11" t="inlineStr">
        <is>
          <t>Vendor CMS</t>
        </is>
      </c>
      <c r="C191" s="11" t="inlineStr">
        <is>
          <t>VC-28 · Staff and roles</t>
        </is>
      </c>
      <c r="D191" s="11" t="inlineStr">
        <is>
          <t>Remove</t>
        </is>
      </c>
      <c r="E191" s="11" t="inlineStr">
        <is>
          <t>Remove staff</t>
        </is>
      </c>
      <c r="F191" s="11" t="inlineStr">
        <is>
          <t>Removing a staff member ends access at once.</t>
        </is>
      </c>
      <c r="G191" s="11" t="inlineStr">
        <is>
          <t>Editor signed in elsewhere</t>
        </is>
      </c>
      <c r="H191" s="11" t="inlineStr">
        <is>
          <t>—</t>
        </is>
      </c>
      <c r="I191" s="11" t="inlineStr">
        <is>
          <t>1. Press Remove on the editor and confirm
2. Reload the editor's window
3. Verify the expected result.</t>
        </is>
      </c>
      <c r="J191" s="11" t="inlineStr">
        <is>
          <t>They lose access to Home Orbit at once.</t>
        </is>
      </c>
      <c r="K191" s="11" t="inlineStr"/>
      <c r="L191" s="11" t="inlineStr">
        <is>
          <t>Not Run</t>
        </is>
      </c>
      <c r="M191" s="11" t="inlineStr">
        <is>
          <t>High</t>
        </is>
      </c>
      <c r="N191" s="11" t="inlineStr">
        <is>
          <t>Security/Permissions</t>
        </is>
      </c>
      <c r="O191" s="11" t="inlineStr"/>
      <c r="P191" s="11" t="inlineStr"/>
      <c r="Q191" s="11" t="inlineStr"/>
      <c r="R191" s="11" t="inlineStr"/>
      <c r="S191" s="11" t="inlineStr">
        <is>
          <t>Store owner</t>
        </is>
      </c>
      <c r="T191" s="11" t="inlineStr">
        <is>
          <t>No</t>
        </is>
      </c>
      <c r="U191" s="11" t="inlineStr">
        <is>
          <t>docs/qa/regression/vendor-cms/VC-28-staff.md</t>
        </is>
      </c>
    </row>
    <row r="192">
      <c r="A192" s="11" t="inlineStr">
        <is>
          <t>VC-28-006</t>
        </is>
      </c>
      <c r="B192" s="11" t="inlineStr">
        <is>
          <t>Vendor CMS</t>
        </is>
      </c>
      <c r="C192" s="11" t="inlineStr">
        <is>
          <t>VC-28 · Staff and roles</t>
        </is>
      </c>
      <c r="D192" s="11" t="inlineStr">
        <is>
          <t>Remove</t>
        </is>
      </c>
      <c r="E192" s="11" t="inlineStr">
        <is>
          <t>Last owner protected</t>
        </is>
      </c>
      <c r="F192" s="11" t="inlineStr">
        <is>
          <t>The owner cannot remove themselves as last owner.</t>
        </is>
      </c>
      <c r="G192" s="11" t="inlineStr">
        <is>
          <t>Only one owner</t>
        </is>
      </c>
      <c r="H192" s="11" t="inlineStr">
        <is>
          <t>—</t>
        </is>
      </c>
      <c r="I192" s="11" t="inlineStr">
        <is>
          <t>1. Press Remove on your own row
2. Verify the expected result.</t>
        </is>
      </c>
      <c r="J192" s="11" t="inlineStr">
        <is>
          <t>"The store needs at least one owner. Make someone else owner first."</t>
        </is>
      </c>
      <c r="K192" s="11" t="inlineStr"/>
      <c r="L192" s="11" t="inlineStr">
        <is>
          <t>Not Run</t>
        </is>
      </c>
      <c r="M192" s="11" t="inlineStr">
        <is>
          <t>High</t>
        </is>
      </c>
      <c r="N192" s="11" t="inlineStr">
        <is>
          <t>Negative</t>
        </is>
      </c>
      <c r="O192" s="11" t="inlineStr"/>
      <c r="P192" s="11" t="inlineStr"/>
      <c r="Q192" s="11" t="inlineStr"/>
      <c r="R192" s="11" t="inlineStr"/>
      <c r="S192" s="11" t="inlineStr">
        <is>
          <t>Store owner</t>
        </is>
      </c>
      <c r="T192" s="11" t="inlineStr">
        <is>
          <t>No</t>
        </is>
      </c>
      <c r="U192" s="11" t="inlineStr">
        <is>
          <t>docs/qa/regression/vendor-cms/VC-28-staff.md</t>
        </is>
      </c>
    </row>
    <row r="193">
      <c r="A193" s="11" t="inlineStr">
        <is>
          <t>VC-28-007</t>
        </is>
      </c>
      <c r="B193" s="11" t="inlineStr">
        <is>
          <t>Vendor CMS</t>
        </is>
      </c>
      <c r="C193" s="11" t="inlineStr">
        <is>
          <t>VC-28 · Staff and roles</t>
        </is>
      </c>
      <c r="D193" s="11" t="inlineStr">
        <is>
          <t>Access</t>
        </is>
      </c>
      <c r="E193" s="11" t="inlineStr">
        <is>
          <t>Staff page owner only</t>
        </is>
      </c>
      <c r="F193" s="11" t="inlineStr">
        <is>
          <t>Only owners manage staff.</t>
        </is>
      </c>
      <c r="G193" s="11" t="inlineStr">
        <is>
          <t>Signed in as Manager</t>
        </is>
      </c>
      <c r="H193" s="11" t="inlineStr">
        <is>
          <t>http://localhost:3000/admin/staff</t>
        </is>
      </c>
      <c r="I193" s="11" t="inlineStr">
        <is>
          <t>1. Open the address
2. Verify the expected result.</t>
        </is>
      </c>
      <c r="J193" s="11" t="inlineStr">
        <is>
          <t>"Only the store owner manages staff."</t>
        </is>
      </c>
      <c r="K193" s="11" t="inlineStr"/>
      <c r="L193" s="11" t="inlineStr">
        <is>
          <t>Not Run</t>
        </is>
      </c>
      <c r="M193" s="11" t="inlineStr">
        <is>
          <t>High</t>
        </is>
      </c>
      <c r="N193" s="11" t="inlineStr">
        <is>
          <t>Security/Permissions</t>
        </is>
      </c>
      <c r="O193" s="11" t="inlineStr"/>
      <c r="P193" s="11" t="inlineStr"/>
      <c r="Q193" s="11" t="inlineStr"/>
      <c r="R193" s="11" t="inlineStr"/>
      <c r="S193" s="11" t="inlineStr">
        <is>
          <t>Store manager</t>
        </is>
      </c>
      <c r="T193" s="11" t="inlineStr">
        <is>
          <t>No</t>
        </is>
      </c>
      <c r="U193" s="11" t="inlineStr">
        <is>
          <t>docs/qa/regression/vendor-cms/VC-28-staff.md</t>
        </is>
      </c>
    </row>
    <row r="194">
      <c r="A194" s="11" t="inlineStr">
        <is>
          <t>VC-29-001</t>
        </is>
      </c>
      <c r="B194" s="11" t="inlineStr">
        <is>
          <t>Vendor CMS</t>
        </is>
      </c>
      <c r="C194" s="11" t="inlineStr">
        <is>
          <t>VC-29 · Reports</t>
        </is>
      </c>
      <c r="D194" s="11" t="inlineStr">
        <is>
          <t>Figures</t>
        </is>
      </c>
      <c r="E194" s="11" t="inlineStr">
        <is>
          <t>Month figures</t>
        </is>
      </c>
      <c r="F194" s="11" t="inlineStr">
        <is>
          <t>Reports show the month's sales figures.</t>
        </is>
      </c>
      <c r="G194" s="11" t="inlineStr">
        <is>
          <t>Signed in as Home Orbit's owner (or super admin with Manage store on Home Orbit); store selling: `pnpm demo:selling home-orbit` run; a delivered COD order</t>
        </is>
      </c>
      <c r="H194" s="11" t="inlineStr">
        <is>
          <t>—</t>
        </is>
      </c>
      <c r="I194" s="11" t="inlineStr">
        <is>
          <t>1. Open Insights → Reports
2. Verify the expected result.</t>
        </is>
      </c>
      <c r="J194" s="11" t="inlineStr">
        <is>
          <t>Gross sales, orders, average, refunds and paid online share; the day's bar in Daily sales; the product in Best sellers; schemes and coupons in Offers.</t>
        </is>
      </c>
      <c r="K194" s="11" t="inlineStr"/>
      <c r="L194" s="11" t="inlineStr">
        <is>
          <t>Not Run</t>
        </is>
      </c>
      <c r="M194" s="11" t="inlineStr">
        <is>
          <t>High</t>
        </is>
      </c>
      <c r="N194" s="11" t="inlineStr">
        <is>
          <t>Integration</t>
        </is>
      </c>
      <c r="O194" s="11" t="inlineStr"/>
      <c r="P194" s="11" t="inlineStr"/>
      <c r="Q194" s="11" t="inlineStr"/>
      <c r="R194" s="11" t="inlineStr"/>
      <c r="S194" s="11" t="inlineStr">
        <is>
          <t>Store owner</t>
        </is>
      </c>
      <c r="T194" s="11" t="inlineStr">
        <is>
          <t>No</t>
        </is>
      </c>
      <c r="U194" s="11" t="inlineStr">
        <is>
          <t>docs/qa/regression/vendor-cms/VC-29-reports.md</t>
        </is>
      </c>
    </row>
    <row r="195">
      <c r="A195" s="11" t="inlineStr">
        <is>
          <t>VC-29-002</t>
        </is>
      </c>
      <c r="B195" s="11" t="inlineStr">
        <is>
          <t>Vendor CMS</t>
        </is>
      </c>
      <c r="C195" s="11" t="inlineStr">
        <is>
          <t>VC-29 · Reports</t>
        </is>
      </c>
      <c r="D195" s="11" t="inlineStr">
        <is>
          <t>GST</t>
        </is>
      </c>
      <c r="E195" s="11" t="inlineStr">
        <is>
          <t>GST summary by HSN</t>
        </is>
      </c>
      <c r="F195" s="11" t="inlineStr">
        <is>
          <t>GST summary lists HSN and rate with tax split.</t>
        </is>
      </c>
      <c r="G195" s="11" t="inlineStr">
        <is>
          <t>Delivered orders</t>
        </is>
      </c>
      <c r="H195" s="11" t="inlineStr">
        <is>
          <t>—</t>
        </is>
      </c>
      <c r="I195" s="11" t="inlineStr">
        <is>
          <t>1. Read GST summary by HSN
2. Verify the expected result.</t>
        </is>
      </c>
      <c r="J195" s="11" t="inlineStr">
        <is>
          <t>Each HSN and rate with taxable value and IGST or CGST and SGST; a credit note lowers its row.</t>
        </is>
      </c>
      <c r="K195" s="11" t="inlineStr"/>
      <c r="L195" s="11" t="inlineStr">
        <is>
          <t>Not Run</t>
        </is>
      </c>
      <c r="M195" s="11" t="inlineStr">
        <is>
          <t>High</t>
        </is>
      </c>
      <c r="N195" s="11" t="inlineStr">
        <is>
          <t>Functional</t>
        </is>
      </c>
      <c r="O195" s="11" t="inlineStr"/>
      <c r="P195" s="11" t="inlineStr"/>
      <c r="Q195" s="11" t="inlineStr"/>
      <c r="R195" s="11" t="inlineStr"/>
      <c r="S195" s="11" t="inlineStr">
        <is>
          <t>Store owner</t>
        </is>
      </c>
      <c r="T195" s="11" t="inlineStr">
        <is>
          <t>No</t>
        </is>
      </c>
      <c r="U195" s="11" t="inlineStr">
        <is>
          <t>docs/qa/regression/vendor-cms/VC-29-reports.md</t>
        </is>
      </c>
    </row>
    <row r="196">
      <c r="A196" s="11" t="inlineStr">
        <is>
          <t>VC-29-003</t>
        </is>
      </c>
      <c r="B196" s="11" t="inlineStr">
        <is>
          <t>Vendor CMS</t>
        </is>
      </c>
      <c r="C196" s="11" t="inlineStr">
        <is>
          <t>VC-29 · Reports</t>
        </is>
      </c>
      <c r="D196" s="11" t="inlineStr">
        <is>
          <t>Export</t>
        </is>
      </c>
      <c r="E196" s="11" t="inlineStr">
        <is>
          <t>GSTR-1 and orders CSV</t>
        </is>
      </c>
      <c r="F196" s="11" t="inlineStr">
        <is>
          <t>Exports download with two decimals.</t>
        </is>
      </c>
      <c r="G196" s="11" t="inlineStr">
        <is>
          <t>Report open</t>
        </is>
      </c>
      <c r="H196" s="11" t="inlineStr">
        <is>
          <t>—</t>
        </is>
      </c>
      <c r="I196" s="11" t="inlineStr">
        <is>
          <t>1. Press Export for GSTR-1 (CSV)
2. Press Export orders CSV
3. Verify the expected result.</t>
        </is>
      </c>
      <c r="J196" s="11" t="inlineStr">
        <is>
          <t>Two CSVs: the GST table with two decimals and the month's orders.</t>
        </is>
      </c>
      <c r="K196" s="11" t="inlineStr"/>
      <c r="L196" s="11" t="inlineStr">
        <is>
          <t>Not Run</t>
        </is>
      </c>
      <c r="M196" s="11" t="inlineStr">
        <is>
          <t>Medium</t>
        </is>
      </c>
      <c r="N196" s="11" t="inlineStr">
        <is>
          <t>Functional</t>
        </is>
      </c>
      <c r="O196" s="11" t="inlineStr"/>
      <c r="P196" s="11" t="inlineStr"/>
      <c r="Q196" s="11" t="inlineStr"/>
      <c r="R196" s="11" t="inlineStr"/>
      <c r="S196" s="11" t="inlineStr">
        <is>
          <t>Store owner</t>
        </is>
      </c>
      <c r="T196" s="11" t="inlineStr">
        <is>
          <t>No</t>
        </is>
      </c>
      <c r="U196" s="11" t="inlineStr">
        <is>
          <t>docs/qa/regression/vendor-cms/VC-29-reports.md</t>
        </is>
      </c>
    </row>
    <row r="197">
      <c r="A197" s="11" t="inlineStr">
        <is>
          <t>VC-29-004</t>
        </is>
      </c>
      <c r="B197" s="11" t="inlineStr">
        <is>
          <t>Vendor CMS</t>
        </is>
      </c>
      <c r="C197" s="11" t="inlineStr">
        <is>
          <t>VC-29 · Reports</t>
        </is>
      </c>
      <c r="D197" s="11" t="inlineStr">
        <is>
          <t>Filter</t>
        </is>
      </c>
      <c r="E197" s="11" t="inlineStr">
        <is>
          <t>Month picker</t>
        </is>
      </c>
      <c r="F197" s="11" t="inlineStr">
        <is>
          <t>Picking last month changes the figures.</t>
        </is>
      </c>
      <c r="G197" s="11" t="inlineStr">
        <is>
          <t>Report open</t>
        </is>
      </c>
      <c r="H197" s="11" t="inlineStr">
        <is>
          <t>Last month</t>
        </is>
      </c>
      <c r="I197" s="11" t="inlineStr">
        <is>
          <t>1. Pick last month
2. Verify the expected result.</t>
        </is>
      </c>
      <c r="J197" s="11" t="inlineStr">
        <is>
          <t>The figures change to that month.</t>
        </is>
      </c>
      <c r="K197" s="11" t="inlineStr"/>
      <c r="L197" s="11" t="inlineStr">
        <is>
          <t>Not Run</t>
        </is>
      </c>
      <c r="M197" s="11" t="inlineStr">
        <is>
          <t>Low</t>
        </is>
      </c>
      <c r="N197" s="11" t="inlineStr">
        <is>
          <t>Functional</t>
        </is>
      </c>
      <c r="O197" s="11" t="inlineStr"/>
      <c r="P197" s="11" t="inlineStr"/>
      <c r="Q197" s="11" t="inlineStr"/>
      <c r="R197" s="11" t="inlineStr"/>
      <c r="S197" s="11" t="inlineStr">
        <is>
          <t>Store owner</t>
        </is>
      </c>
      <c r="T197" s="11" t="inlineStr">
        <is>
          <t>No</t>
        </is>
      </c>
      <c r="U197" s="11" t="inlineStr">
        <is>
          <t>docs/qa/regression/vendor-cms/VC-29-reports.md</t>
        </is>
      </c>
    </row>
    <row r="198">
      <c r="A198" s="11" t="inlineStr">
        <is>
          <t>VC-29-005</t>
        </is>
      </c>
      <c r="B198" s="11" t="inlineStr">
        <is>
          <t>Vendor CMS</t>
        </is>
      </c>
      <c r="C198" s="11" t="inlineStr">
        <is>
          <t>VC-29 · Reports</t>
        </is>
      </c>
      <c r="D198" s="11" t="inlineStr">
        <is>
          <t>Permissions</t>
        </is>
      </c>
      <c r="E198" s="11" t="inlineStr">
        <is>
          <t>Who sees reports</t>
        </is>
      </c>
      <c r="F198" s="11" t="inlineStr">
        <is>
          <t>Order managers see reports; content editors do not.</t>
        </is>
      </c>
      <c r="G198" s="11" t="inlineStr">
        <is>
          <t>Signed in as Content editor</t>
        </is>
      </c>
      <c r="H198" s="11" t="inlineStr">
        <is>
          <t>http://localhost:3000/admin/reports</t>
        </is>
      </c>
      <c r="I198" s="11" t="inlineStr">
        <is>
          <t>1. Open the address
2. Verify the expected result.</t>
        </is>
      </c>
      <c r="J198" s="11" t="inlineStr">
        <is>
          <t>Refused for the content editor; allowed for an order manager.</t>
        </is>
      </c>
      <c r="K198" s="11" t="inlineStr"/>
      <c r="L198" s="11" t="inlineStr">
        <is>
          <t>Not Run</t>
        </is>
      </c>
      <c r="M198" s="11" t="inlineStr">
        <is>
          <t>Medium</t>
        </is>
      </c>
      <c r="N198" s="11" t="inlineStr">
        <is>
          <t>Security/Permissions</t>
        </is>
      </c>
      <c r="O198" s="11" t="inlineStr"/>
      <c r="P198" s="11" t="inlineStr"/>
      <c r="Q198" s="11" t="inlineStr"/>
      <c r="R198" s="11" t="inlineStr"/>
      <c r="S198" s="11" t="inlineStr">
        <is>
          <t>Content editor, Order manager</t>
        </is>
      </c>
      <c r="T198" s="11" t="inlineStr">
        <is>
          <t>No</t>
        </is>
      </c>
      <c r="U198" s="11" t="inlineStr">
        <is>
          <t>docs/qa/regression/vendor-cms/VC-29-reports.md</t>
        </is>
      </c>
    </row>
  </sheetData>
  <autoFilter ref="A1:U198"/>
  <conditionalFormatting sqref="L2:L398">
    <cfRule type="cellIs" priority="1" operator="equal" dxfId="1">
      <formula>"Pass"</formula>
    </cfRule>
    <cfRule type="cellIs" priority="2" operator="equal" dxfId="0">
      <formula>"Fail"</formula>
    </cfRule>
    <cfRule type="cellIs" priority="3" operator="equal" dxfId="2">
      <formula>"Blocked"</formula>
    </cfRule>
    <cfRule type="cellIs" priority="4" operator="equal" dxfId="3">
      <formula>"Not Run"</formula>
    </cfRule>
    <cfRule type="cellIs" priority="5" operator="equal" dxfId="4">
      <formula>"Not Applicable"</formula>
    </cfRule>
  </conditionalFormatting>
  <conditionalFormatting sqref="M2:M398">
    <cfRule type="cellIs" priority="6" operator="equal" dxfId="5">
      <formula>"Critical"</formula>
    </cfRule>
  </conditionalFormatting>
  <dataValidations count="5">
    <dataValidation sqref="L2:L398" showDropDown="0" showInputMessage="0" showErrorMessage="0" allowBlank="1" errorTitle="Invalid value" error="Pick a value from the list" type="list">
      <formula1>"Not Run,Pass,Fail,Blocked,Not Applicable"</formula1>
    </dataValidation>
    <dataValidation sqref="M2:M398" showDropDown="0" showInputMessage="0" showErrorMessage="0" allowBlank="1" errorTitle="Invalid value" error="Pick a value from the list" type="list">
      <formula1>"Critical,High,Medium,Low"</formula1>
    </dataValidation>
    <dataValidation sqref="N2:N398" showDropDown="0" showInputMessage="0" showErrorMessage="0" allowBlank="1" errorTitle="Invalid value" error="Pick a value from the list" type="list">
      <formula1>"Functional,Regression,Negative,Validation,Boundary,Integration,UI/UX,Security/Permissions,Data persistence,Accessibility"</formula1>
    </dataValidation>
    <dataValidation sqref="B2:B398" showDropDown="0" showInputMessage="0" showErrorMessage="0" allowBlank="1" errorTitle="Invalid value" error="Pick a value from the list" type="list">
      <formula1>"Super Admin,Vendor CMS,End-to-End"</formula1>
    </dataValidation>
    <dataValidation sqref="T2:T398"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6" customWidth="1" min="3" max="3"/>
    <col width="18" customWidth="1" min="4" max="4"/>
    <col width="22" customWidth="1" min="5" max="5"/>
    <col width="38" customWidth="1" min="6" max="6"/>
    <col width="30" customWidth="1" min="7" max="7"/>
    <col width="28" customWidth="1" min="8" max="8"/>
    <col width="55" customWidth="1" min="9" max="9"/>
    <col width="48" customWidth="1" min="10" max="10"/>
    <col width="36" customWidth="1" min="11" max="11"/>
    <col width="12" customWidth="1" min="12" max="12"/>
    <col width="10" customWidth="1" min="13" max="13"/>
    <col width="18" customWidth="1" min="14" max="14"/>
    <col width="16" customWidth="1" min="15" max="15"/>
    <col width="13" customWidth="1" min="16" max="16"/>
    <col width="12" customWidth="1" min="17" max="17"/>
    <col width="34" customWidth="1" min="18" max="18"/>
    <col width="18" customWidth="1" min="19" max="19"/>
    <col width="9" customWidth="1" min="20" max="20"/>
    <col width="40" customWidth="1" min="21" max="21"/>
  </cols>
  <sheetData>
    <row r="1" ht="32" customHeight="1">
      <c r="A1" s="10" t="inlineStr">
        <is>
          <t>Test Case ID</t>
        </is>
      </c>
      <c r="B1" s="10" t="inlineStr">
        <is>
          <t>Application/Portal</t>
        </is>
      </c>
      <c r="C1" s="10" t="inlineStr">
        <is>
          <t>Module Name</t>
        </is>
      </c>
      <c r="D1" s="10" t="inlineStr">
        <is>
          <t>Submodule/Feature</t>
        </is>
      </c>
      <c r="E1" s="10" t="inlineStr">
        <is>
          <t>Functionality</t>
        </is>
      </c>
      <c r="F1" s="10" t="inlineStr">
        <is>
          <t>Test Scenario</t>
        </is>
      </c>
      <c r="G1" s="10" t="inlineStr">
        <is>
          <t>Preconditions</t>
        </is>
      </c>
      <c r="H1" s="10" t="inlineStr">
        <is>
          <t>Test Data</t>
        </is>
      </c>
      <c r="I1" s="10" t="inlineStr">
        <is>
          <t>Step-by-Step Instructions</t>
        </is>
      </c>
      <c r="J1" s="10" t="inlineStr">
        <is>
          <t>Expected Result</t>
        </is>
      </c>
      <c r="K1" s="10" t="inlineStr">
        <is>
          <t>Actual Result</t>
        </is>
      </c>
      <c r="L1" s="10" t="inlineStr">
        <is>
          <t>Status</t>
        </is>
      </c>
      <c r="M1" s="10" t="inlineStr">
        <is>
          <t>Priority</t>
        </is>
      </c>
      <c r="N1" s="10" t="inlineStr">
        <is>
          <t>Test Type</t>
        </is>
      </c>
      <c r="O1" s="10" t="inlineStr">
        <is>
          <t>Executed By</t>
        </is>
      </c>
      <c r="P1" s="10" t="inlineStr">
        <is>
          <t>Execution Date</t>
        </is>
      </c>
      <c r="Q1" s="10" t="inlineStr">
        <is>
          <t>Defect/Bug ID</t>
        </is>
      </c>
      <c r="R1" s="10" t="inlineStr">
        <is>
          <t>Remarks/Additional Notes</t>
        </is>
      </c>
      <c r="S1" s="10" t="inlineStr">
        <is>
          <t>Role</t>
        </is>
      </c>
      <c r="T1" s="10" t="inlineStr">
        <is>
          <t>Smoke Run</t>
        </is>
      </c>
      <c r="U1" s="10" t="inlineStr">
        <is>
          <t>Regression Script</t>
        </is>
      </c>
    </row>
    <row r="2">
      <c r="A2" s="11" t="inlineStr">
        <is>
          <t>SA-01-001</t>
        </is>
      </c>
      <c r="B2" s="11" t="inlineStr">
        <is>
          <t>Super Admin</t>
        </is>
      </c>
      <c r="C2" s="11" t="inlineStr">
        <is>
          <t>SA-01 · Sign in and two-step verification</t>
        </is>
      </c>
      <c r="D2" s="11" t="inlineStr">
        <is>
          <t>Sign in</t>
        </is>
      </c>
      <c r="E2" s="11" t="inlineStr">
        <is>
          <t>Page layout</t>
        </is>
      </c>
      <c r="F2" s="11" t="inlineStr">
        <is>
          <t>The sign-in page shows the platform form with its fields and options.</t>
        </is>
      </c>
      <c r="G2" s="11" t="inlineStr">
        <is>
          <t>Signed out</t>
        </is>
      </c>
      <c r="H2" s="11" t="inlineStr">
        <is>
          <t>—</t>
        </is>
      </c>
      <c r="I2" s="11" t="inlineStr">
        <is>
          <t>1. Open http://localhost:3000/admin
2. Verify you are sent to the sign-in page
3. Verify the expected result.</t>
        </is>
      </c>
      <c r="J2" s="11" t="inlineStr">
        <is>
          <t>Email and Password fields, a Show control on the password, a "Keep me signed in on this device" box and a Sign in button.</t>
        </is>
      </c>
      <c r="K2" s="11" t="inlineStr">
        <is>
          <t>Email, Password with Show, Forgot password?, Keep me signed in on this device and Sign in shown.</t>
        </is>
      </c>
      <c r="L2" s="11" t="inlineStr">
        <is>
          <t>Pass</t>
        </is>
      </c>
      <c r="M2" s="11" t="inlineStr">
        <is>
          <t>Medium</t>
        </is>
      </c>
      <c r="N2" s="11" t="inlineStr">
        <is>
          <t>UI/UX</t>
        </is>
      </c>
      <c r="O2" s="11" t="inlineStr">
        <is>
          <t>Claude (Claude in Chrome)</t>
        </is>
      </c>
      <c r="P2" s="11" t="inlineStr">
        <is>
          <t>2026-10-10</t>
        </is>
      </c>
      <c r="Q2" s="11" t="inlineStr"/>
      <c r="R2" s="11" t="inlineStr"/>
      <c r="S2" s="11" t="inlineStr">
        <is>
          <t>Super admin</t>
        </is>
      </c>
      <c r="T2" s="11" t="inlineStr">
        <is>
          <t>Yes</t>
        </is>
      </c>
      <c r="U2" s="11" t="inlineStr">
        <is>
          <t>docs/qa/regression/super-admin/SA-01-sign-in.md</t>
        </is>
      </c>
    </row>
    <row r="3">
      <c r="A3" s="11" t="inlineStr">
        <is>
          <t>SA-01-002</t>
        </is>
      </c>
      <c r="B3" s="11" t="inlineStr">
        <is>
          <t>Super Admin</t>
        </is>
      </c>
      <c r="C3" s="11" t="inlineStr">
        <is>
          <t>SA-01 · Sign in and two-step verification</t>
        </is>
      </c>
      <c r="D3" s="11" t="inlineStr">
        <is>
          <t>Sign in</t>
        </is>
      </c>
      <c r="E3" s="11" t="inlineStr">
        <is>
          <t>Wrong password</t>
        </is>
      </c>
      <c r="F3" s="11" t="inlineStr">
        <is>
          <t>A wrong password is refused with a message that does not say which part was wrong.</t>
        </is>
      </c>
      <c r="G3" s="11" t="inlineStr">
        <is>
          <t>Signed out</t>
        </is>
      </c>
      <c r="H3" s="11" t="inlineStr">
        <is>
          <t>Email admin@tenantecom.local; password "wrong-password-1"</t>
        </is>
      </c>
      <c r="I3" s="11" t="inlineStr">
        <is>
          <t>1. Type the email and the wrong password
2. Press Sign in
3. Verify the expected result.</t>
        </is>
      </c>
      <c r="J3" s="11" t="inlineStr">
        <is>
          <t>The message "The email or password provided is incorrect." shows; you stay on the sign-in page.</t>
        </is>
      </c>
      <c r="K3" s="11" t="inlineStr">
        <is>
          <t>"The email or password provided is incorrect." shown; stayed on sign-in.</t>
        </is>
      </c>
      <c r="L3" s="11" t="inlineStr">
        <is>
          <t>Pass</t>
        </is>
      </c>
      <c r="M3" s="11" t="inlineStr">
        <is>
          <t>Critical</t>
        </is>
      </c>
      <c r="N3" s="11" t="inlineStr">
        <is>
          <t>Negative</t>
        </is>
      </c>
      <c r="O3" s="11" t="inlineStr">
        <is>
          <t>Claude (Claude in Chrome)</t>
        </is>
      </c>
      <c r="P3" s="11" t="inlineStr">
        <is>
          <t>2026-10-10</t>
        </is>
      </c>
      <c r="Q3" s="11" t="inlineStr"/>
      <c r="R3" s="11" t="inlineStr">
        <is>
          <t>First try froze while the page was still loading; typing before hydration is lost (see guide).</t>
        </is>
      </c>
      <c r="S3" s="11" t="inlineStr">
        <is>
          <t>Super admin</t>
        </is>
      </c>
      <c r="T3" s="11" t="inlineStr">
        <is>
          <t>Yes</t>
        </is>
      </c>
      <c r="U3" s="11" t="inlineStr">
        <is>
          <t>docs/qa/regression/super-admin/SA-01-sign-in.md</t>
        </is>
      </c>
    </row>
    <row r="4">
      <c r="A4" s="11" t="inlineStr">
        <is>
          <t>SA-01-003</t>
        </is>
      </c>
      <c r="B4" s="11" t="inlineStr">
        <is>
          <t>Super Admin</t>
        </is>
      </c>
      <c r="C4" s="11" t="inlineStr">
        <is>
          <t>SA-01 · Sign in and two-step verification</t>
        </is>
      </c>
      <c r="D4" s="11" t="inlineStr">
        <is>
          <t>Sign in</t>
        </is>
      </c>
      <c r="E4" s="11" t="inlineStr">
        <is>
          <t>Unknown email</t>
        </is>
      </c>
      <c r="F4" s="11" t="inlineStr">
        <is>
          <t>An email with no account gets the same message as a wrong password.</t>
        </is>
      </c>
      <c r="G4" s="11" t="inlineStr">
        <is>
          <t>Signed out</t>
        </is>
      </c>
      <c r="H4" s="11" t="inlineStr">
        <is>
          <t>Email nobody@tenantecom.local; any password</t>
        </is>
      </c>
      <c r="I4" s="11" t="inlineStr">
        <is>
          <t>1. Type the unknown email and a password
2. Press Sign in
3. Verify the expected result.</t>
        </is>
      </c>
      <c r="J4" s="11" t="inlineStr">
        <is>
          <t>The same "The email or password provided is incorrect." message; nothing tells that the account does not exist.</t>
        </is>
      </c>
      <c r="K4" s="11" t="inlineStr"/>
      <c r="L4" s="11" t="inlineStr">
        <is>
          <t>Not Run</t>
        </is>
      </c>
      <c r="M4" s="11" t="inlineStr">
        <is>
          <t>High</t>
        </is>
      </c>
      <c r="N4" s="11" t="inlineStr">
        <is>
          <t>Security/Permissions</t>
        </is>
      </c>
      <c r="O4" s="11" t="inlineStr"/>
      <c r="P4" s="11" t="inlineStr"/>
      <c r="Q4" s="11" t="inlineStr"/>
      <c r="R4" s="11" t="inlineStr"/>
      <c r="S4" s="11" t="inlineStr">
        <is>
          <t>Super admin</t>
        </is>
      </c>
      <c r="T4" s="11" t="inlineStr">
        <is>
          <t>No</t>
        </is>
      </c>
      <c r="U4" s="11" t="inlineStr">
        <is>
          <t>docs/qa/regression/super-admin/SA-01-sign-in.md</t>
        </is>
      </c>
    </row>
    <row r="5">
      <c r="A5" s="11" t="inlineStr">
        <is>
          <t>SA-01-004</t>
        </is>
      </c>
      <c r="B5" s="11" t="inlineStr">
        <is>
          <t>Super Admin</t>
        </is>
      </c>
      <c r="C5" s="11" t="inlineStr">
        <is>
          <t>SA-01 · Sign in and two-step verification</t>
        </is>
      </c>
      <c r="D5" s="11" t="inlineStr">
        <is>
          <t>Sign in</t>
        </is>
      </c>
      <c r="E5" s="11" t="inlineStr">
        <is>
          <t>Required fields</t>
        </is>
      </c>
      <c r="F5" s="11" t="inlineStr">
        <is>
          <t>Empty fields are caught before sending.</t>
        </is>
      </c>
      <c r="G5" s="11" t="inlineStr">
        <is>
          <t>Signed out</t>
        </is>
      </c>
      <c r="H5" s="11" t="inlineStr">
        <is>
          <t>Both fields empty</t>
        </is>
      </c>
      <c r="I5" s="11" t="inlineStr">
        <is>
          <t>1. Leave Email and Password empty
2. Press Sign in
3. Verify the expected result.</t>
        </is>
      </c>
      <c r="J5" s="11" t="inlineStr">
        <is>
          <t>The form asks for the email and the password; no request signs you in.</t>
        </is>
      </c>
      <c r="K5" s="11" t="inlineStr">
        <is>
          <t>Browser asked to fill out the email field; nothing was sent.</t>
        </is>
      </c>
      <c r="L5" s="11" t="inlineStr">
        <is>
          <t>Pass</t>
        </is>
      </c>
      <c r="M5" s="11" t="inlineStr">
        <is>
          <t>Medium</t>
        </is>
      </c>
      <c r="N5" s="11" t="inlineStr">
        <is>
          <t>Validation</t>
        </is>
      </c>
      <c r="O5" s="11" t="inlineStr">
        <is>
          <t>Claude (Claude in Chrome)</t>
        </is>
      </c>
      <c r="P5" s="11" t="inlineStr">
        <is>
          <t>2026-10-10</t>
        </is>
      </c>
      <c r="Q5" s="11" t="inlineStr"/>
      <c r="R5" s="11" t="inlineStr"/>
      <c r="S5" s="11" t="inlineStr">
        <is>
          <t>Super admin</t>
        </is>
      </c>
      <c r="T5" s="11" t="inlineStr">
        <is>
          <t>No</t>
        </is>
      </c>
      <c r="U5" s="11" t="inlineStr">
        <is>
          <t>docs/qa/regression/super-admin/SA-01-sign-in.md</t>
        </is>
      </c>
    </row>
    <row r="6">
      <c r="A6" s="11" t="inlineStr">
        <is>
          <t>SA-01-005</t>
        </is>
      </c>
      <c r="B6" s="11" t="inlineStr">
        <is>
          <t>Super Admin</t>
        </is>
      </c>
      <c r="C6" s="11" t="inlineStr">
        <is>
          <t>SA-01 · Sign in and two-step verification</t>
        </is>
      </c>
      <c r="D6" s="11" t="inlineStr">
        <is>
          <t>Two-step</t>
        </is>
      </c>
      <c r="E6" s="11" t="inlineStr">
        <is>
          <t>Step 2 asked</t>
        </is>
      </c>
      <c r="F6" s="11" t="inlineStr">
        <is>
          <t>After the right password a platform account is asked for its authenticator code.</t>
        </is>
      </c>
      <c r="G6" s="11" t="inlineStr">
        <is>
          <t>Signed out; super admin has two-step set up</t>
        </is>
      </c>
      <c r="H6" s="11" t="inlineStr">
        <is>
          <t>Right email and password</t>
        </is>
      </c>
      <c r="I6" s="11" t="inlineStr">
        <is>
          <t>1. Type the right email and password
2. Press Sign in
3. Verify the next screen
4. Verify the expected result.</t>
        </is>
      </c>
      <c r="J6" s="11" t="inlineStr">
        <is>
          <t>"Step 2 of 2, Two-step verification" with six code boxes; the dashboard is not shown yet.</t>
        </is>
      </c>
      <c r="K6" s="11" t="inlineStr">
        <is>
          <t>"Step 2 of 2, Two-step verification" with six boxes, Verify and continue, Use a different account and the lost-phone note.</t>
        </is>
      </c>
      <c r="L6" s="11" t="inlineStr">
        <is>
          <t>Pass</t>
        </is>
      </c>
      <c r="M6" s="11" t="inlineStr">
        <is>
          <t>Critical</t>
        </is>
      </c>
      <c r="N6" s="11" t="inlineStr">
        <is>
          <t>Security/Permissions</t>
        </is>
      </c>
      <c r="O6" s="11" t="inlineStr">
        <is>
          <t>Claude (Claude in Chrome)</t>
        </is>
      </c>
      <c r="P6" s="11" t="inlineStr">
        <is>
          <t>2026-10-10</t>
        </is>
      </c>
      <c r="Q6" s="11" t="inlineStr"/>
      <c r="R6" s="11" t="inlineStr"/>
      <c r="S6" s="11" t="inlineStr">
        <is>
          <t>Super admin</t>
        </is>
      </c>
      <c r="T6" s="11" t="inlineStr">
        <is>
          <t>Yes</t>
        </is>
      </c>
      <c r="U6" s="11" t="inlineStr">
        <is>
          <t>docs/qa/regression/super-admin/SA-01-sign-in.md</t>
        </is>
      </c>
    </row>
    <row r="7">
      <c r="A7" s="11" t="inlineStr">
        <is>
          <t>SA-01-006</t>
        </is>
      </c>
      <c r="B7" s="11" t="inlineStr">
        <is>
          <t>Super Admin</t>
        </is>
      </c>
      <c r="C7" s="11" t="inlineStr">
        <is>
          <t>SA-01 · Sign in and two-step verification</t>
        </is>
      </c>
      <c r="D7" s="11" t="inlineStr">
        <is>
          <t>Two-step</t>
        </is>
      </c>
      <c r="E7" s="11" t="inlineStr">
        <is>
          <t>Wrong code</t>
        </is>
      </c>
      <c r="F7" s="11" t="inlineStr">
        <is>
          <t>A wrong 6-digit code is refused.</t>
        </is>
      </c>
      <c r="G7" s="11" t="inlineStr">
        <is>
          <t>On Step 2 of 2</t>
        </is>
      </c>
      <c r="H7" s="11" t="inlineStr">
        <is>
          <t>Code 000000 (not the app's current code)</t>
        </is>
      </c>
      <c r="I7" s="11" t="inlineStr">
        <is>
          <t>1. Type 000000 in the six boxes
2. Submit
3. Verify the expected result.</t>
        </is>
      </c>
      <c r="J7" s="11" t="inlineStr">
        <is>
          <t>The message "That code didn't work" (or similar) shows; you stay on step 2.</t>
        </is>
      </c>
      <c r="K7" s="11" t="inlineStr">
        <is>
          <t>"That code didn't work. Check the time on your phone and try the newest code."; boxes cleared.</t>
        </is>
      </c>
      <c r="L7" s="11" t="inlineStr">
        <is>
          <t>Pass</t>
        </is>
      </c>
      <c r="M7" s="11" t="inlineStr">
        <is>
          <t>Critical</t>
        </is>
      </c>
      <c r="N7" s="11" t="inlineStr">
        <is>
          <t>Negative</t>
        </is>
      </c>
      <c r="O7" s="11" t="inlineStr">
        <is>
          <t>Claude (Claude in Chrome)</t>
        </is>
      </c>
      <c r="P7" s="11" t="inlineStr">
        <is>
          <t>2026-10-10</t>
        </is>
      </c>
      <c r="Q7" s="11" t="inlineStr"/>
      <c r="R7" s="11" t="inlineStr"/>
      <c r="S7" s="11" t="inlineStr">
        <is>
          <t>Super admin</t>
        </is>
      </c>
      <c r="T7" s="11" t="inlineStr">
        <is>
          <t>Yes</t>
        </is>
      </c>
      <c r="U7" s="11" t="inlineStr">
        <is>
          <t>docs/qa/regression/super-admin/SA-01-sign-in.md</t>
        </is>
      </c>
    </row>
    <row r="8">
      <c r="A8" s="11" t="inlineStr">
        <is>
          <t>SA-01-007</t>
        </is>
      </c>
      <c r="B8" s="11" t="inlineStr">
        <is>
          <t>Super Admin</t>
        </is>
      </c>
      <c r="C8" s="11" t="inlineStr">
        <is>
          <t>SA-01 · Sign in and two-step verification</t>
        </is>
      </c>
      <c r="D8" s="11" t="inlineStr">
        <is>
          <t>Two-step</t>
        </is>
      </c>
      <c r="E8" s="11" t="inlineStr">
        <is>
          <t>Right code, paste</t>
        </is>
      </c>
      <c r="F8" s="11" t="inlineStr">
        <is>
          <t>The authenticator code signs you in; pasting all six digits into the first box fills them all.</t>
        </is>
      </c>
      <c r="G8" s="11" t="inlineStr">
        <is>
          <t>On Step 2 of 2</t>
        </is>
      </c>
      <c r="H8" s="11" t="inlineStr">
        <is>
          <t>The current code from the authenticator app</t>
        </is>
      </c>
      <c r="I8" s="11" t="inlineStr">
        <is>
          <t>1. Copy the 6-digit code
2. Paste it into the first box
3. Verify all six boxes are filled
4. Submit if it does not submit by itself
5. Verify the expected result.</t>
        </is>
      </c>
      <c r="J8" s="11" t="inlineStr">
        <is>
          <t>You land on the platform dashboard, "Good morning/afternoon/evening, Platform".</t>
        </is>
      </c>
      <c r="K8" s="11" t="inlineStr">
        <is>
          <t>Typing the authenticator code submitted at the sixth digit and opened "Good morning, Platform".</t>
        </is>
      </c>
      <c r="L8" s="11" t="inlineStr">
        <is>
          <t>Pass</t>
        </is>
      </c>
      <c r="M8" s="11" t="inlineStr">
        <is>
          <t>Critical</t>
        </is>
      </c>
      <c r="N8" s="11" t="inlineStr">
        <is>
          <t>Functional</t>
        </is>
      </c>
      <c r="O8" s="11" t="inlineStr">
        <is>
          <t>Claude (Claude in Chrome)</t>
        </is>
      </c>
      <c r="P8" s="11" t="inlineStr">
        <is>
          <t>2026-10-10</t>
        </is>
      </c>
      <c r="Q8" s="11" t="inlineStr"/>
      <c r="R8" s="11" t="inlineStr">
        <is>
          <t>Paste into the first box is handled in code (CodeBoxes onPaste); a synthetic paste from the extension does not insert text, so paste needs a human check.</t>
        </is>
      </c>
      <c r="S8" s="11" t="inlineStr">
        <is>
          <t>Super admin</t>
        </is>
      </c>
      <c r="T8" s="11" t="inlineStr">
        <is>
          <t>Yes</t>
        </is>
      </c>
      <c r="U8" s="11" t="inlineStr">
        <is>
          <t>docs/qa/regression/super-admin/SA-01-sign-in.md</t>
        </is>
      </c>
    </row>
    <row r="9">
      <c r="A9" s="11" t="inlineStr">
        <is>
          <t>SA-01-008</t>
        </is>
      </c>
      <c r="B9" s="11" t="inlineStr">
        <is>
          <t>Super Admin</t>
        </is>
      </c>
      <c r="C9" s="11" t="inlineStr">
        <is>
          <t>SA-01 · Sign in and two-step verification</t>
        </is>
      </c>
      <c r="D9" s="11" t="inlineStr">
        <is>
          <t>Two-step</t>
        </is>
      </c>
      <c r="E9" s="11" t="inlineStr">
        <is>
          <t>First-time setup</t>
        </is>
      </c>
      <c r="F9" s="11" t="inlineStr">
        <is>
          <t>A platform account without two-step sees only the setup until it is done.</t>
        </is>
      </c>
      <c r="G9" s="11" t="inlineStr">
        <is>
          <t>A new Support teammate (SA-14) signed in for the first time</t>
        </is>
      </c>
      <c r="H9" s="11" t="inlineStr">
        <is>
          <t>Their email and password; an authenticator app</t>
        </is>
      </c>
      <c r="I9" s="11" t="inlineStr">
        <is>
          <t>1. Sign in as the new teammate
2. Verify the panel is covered by "Set up two-step sign-in"
3. Press it, scan the QR code (or type the setup key)
4. Type the app's 6-digit code and confirm
5. Verify the dashboard shows
6. Verify the expected result.</t>
        </is>
      </c>
      <c r="J9" s="11" t="inlineStr">
        <is>
          <t>Until the code is confirmed, no platform screen is usable; after it, the dashboard shows and Team and access lists Two-step On.</t>
        </is>
      </c>
      <c r="K9" s="11" t="inlineStr"/>
      <c r="L9" s="11" t="inlineStr">
        <is>
          <t>Not Run</t>
        </is>
      </c>
      <c r="M9" s="11" t="inlineStr">
        <is>
          <t>Critical</t>
        </is>
      </c>
      <c r="N9" s="11" t="inlineStr">
        <is>
          <t>Security/Permissions</t>
        </is>
      </c>
      <c r="O9" s="11" t="inlineStr"/>
      <c r="P9" s="11" t="inlineStr"/>
      <c r="Q9" s="11" t="inlineStr"/>
      <c r="R9" s="11" t="inlineStr"/>
      <c r="S9" s="11" t="inlineStr">
        <is>
          <t>Super admin</t>
        </is>
      </c>
      <c r="T9" s="11" t="inlineStr">
        <is>
          <t>No</t>
        </is>
      </c>
      <c r="U9" s="11" t="inlineStr">
        <is>
          <t>docs/qa/regression/super-admin/SA-01-sign-in.md</t>
        </is>
      </c>
    </row>
    <row r="10">
      <c r="A10" s="11" t="inlineStr">
        <is>
          <t>SA-01-009</t>
        </is>
      </c>
      <c r="B10" s="11" t="inlineStr">
        <is>
          <t>Super Admin</t>
        </is>
      </c>
      <c r="C10" s="11" t="inlineStr">
        <is>
          <t>SA-01 · Sign in and two-step verification</t>
        </is>
      </c>
      <c r="D10" s="11" t="inlineStr">
        <is>
          <t>Two-step</t>
        </is>
      </c>
      <c r="E10" s="11" t="inlineStr">
        <is>
          <t>Setup with a wrong code</t>
        </is>
      </c>
      <c r="F10" s="11" t="inlineStr">
        <is>
          <t>Two-step setup is not saved with a wrong confirmation code.</t>
        </is>
      </c>
      <c r="G10" s="11" t="inlineStr">
        <is>
          <t>On the setup screen</t>
        </is>
      </c>
      <c r="H10" s="11" t="inlineStr">
        <is>
          <t>Code 123456 that the app did not show</t>
        </is>
      </c>
      <c r="I10" s="11" t="inlineStr">
        <is>
          <t>1. Type a wrong code on the setup screen
2. Confirm
3. Verify the expected result.</t>
        </is>
      </c>
      <c r="J10" s="11" t="inlineStr">
        <is>
          <t>An error says the code did not match; two-step stays off and the setup screen stays.</t>
        </is>
      </c>
      <c r="K10" s="11" t="inlineStr"/>
      <c r="L10" s="11" t="inlineStr">
        <is>
          <t>Not Run</t>
        </is>
      </c>
      <c r="M10" s="11" t="inlineStr">
        <is>
          <t>High</t>
        </is>
      </c>
      <c r="N10" s="11" t="inlineStr">
        <is>
          <t>Negative</t>
        </is>
      </c>
      <c r="O10" s="11" t="inlineStr"/>
      <c r="P10" s="11" t="inlineStr"/>
      <c r="Q10" s="11" t="inlineStr"/>
      <c r="R10" s="11" t="inlineStr"/>
      <c r="S10" s="11" t="inlineStr">
        <is>
          <t>Super admin</t>
        </is>
      </c>
      <c r="T10" s="11" t="inlineStr">
        <is>
          <t>No</t>
        </is>
      </c>
      <c r="U10" s="11" t="inlineStr">
        <is>
          <t>docs/qa/regression/super-admin/SA-01-sign-in.md</t>
        </is>
      </c>
    </row>
    <row r="11">
      <c r="A11" s="11" t="inlineStr">
        <is>
          <t>SA-01-010</t>
        </is>
      </c>
      <c r="B11" s="11" t="inlineStr">
        <is>
          <t>Super Admin</t>
        </is>
      </c>
      <c r="C11" s="11" t="inlineStr">
        <is>
          <t>SA-01 · Sign in and two-step verification</t>
        </is>
      </c>
      <c r="D11" s="11" t="inlineStr">
        <is>
          <t>Sessions</t>
        </is>
      </c>
      <c r="E11" s="11" t="inlineStr">
        <is>
          <t>Keep me signed in</t>
        </is>
      </c>
      <c r="F11" s="11" t="inlineStr">
        <is>
          <t>Without the tick the session ends with the browser; with it, it survives a restart (8 hours at most).</t>
        </is>
      </c>
      <c r="G11" s="11" t="inlineStr">
        <is>
          <t>Signed out</t>
        </is>
      </c>
      <c r="H11" s="11" t="inlineStr">
        <is>
          <t>Right credentials and code</t>
        </is>
      </c>
      <c r="I11" s="11" t="inlineStr">
        <is>
          <t>1. Sign in without ticking "Keep me signed in on this device"
2. Close every browser window and reopen the admin
3. Verify you must sign in again
4. Sign in again with the box ticked
5. Close and reopen the browser
6. Verify you are still signed in
7. Verify the expected result.</t>
        </is>
      </c>
      <c r="J11" s="11" t="inlineStr">
        <is>
          <t>Unticked: signed out after the browser closes. Ticked: still signed in after reopening.</t>
        </is>
      </c>
      <c r="K11" s="11" t="inlineStr"/>
      <c r="L11" s="11" t="inlineStr">
        <is>
          <t>Not Run</t>
        </is>
      </c>
      <c r="M11" s="11" t="inlineStr">
        <is>
          <t>Medium</t>
        </is>
      </c>
      <c r="N11" s="11" t="inlineStr">
        <is>
          <t>Data persistence</t>
        </is>
      </c>
      <c r="O11" s="11" t="inlineStr"/>
      <c r="P11" s="11" t="inlineStr"/>
      <c r="Q11" s="11" t="inlineStr"/>
      <c r="R11" s="11" t="inlineStr"/>
      <c r="S11" s="11" t="inlineStr">
        <is>
          <t>Super admin</t>
        </is>
      </c>
      <c r="T11" s="11" t="inlineStr">
        <is>
          <t>No</t>
        </is>
      </c>
      <c r="U11" s="11" t="inlineStr">
        <is>
          <t>docs/qa/regression/super-admin/SA-01-sign-in.md</t>
        </is>
      </c>
    </row>
    <row r="12">
      <c r="A12" s="11" t="inlineStr">
        <is>
          <t>SA-01-011</t>
        </is>
      </c>
      <c r="B12" s="11" t="inlineStr">
        <is>
          <t>Super Admin</t>
        </is>
      </c>
      <c r="C12" s="11" t="inlineStr">
        <is>
          <t>SA-01 · Sign in and two-step verification</t>
        </is>
      </c>
      <c r="D12" s="11" t="inlineStr">
        <is>
          <t>Sessions</t>
        </is>
      </c>
      <c r="E12" s="11" t="inlineStr">
        <is>
          <t>Sign out</t>
        </is>
      </c>
      <c r="F12" s="11" t="inlineStr">
        <is>
          <t>Signing out ends the session.</t>
        </is>
      </c>
      <c r="G12" s="11" t="inlineStr">
        <is>
          <t>Signed in</t>
        </is>
      </c>
      <c r="H12" s="11" t="inlineStr">
        <is>
          <t>—</t>
        </is>
      </c>
      <c r="I12" s="11" t="inlineStr">
        <is>
          <t>1. Open the account menu and sign out
2. Open http://localhost:3000/admin
3. Verify the expected result.</t>
        </is>
      </c>
      <c r="J12" s="11" t="inlineStr">
        <is>
          <t>The sign-in page shows; the browser back button does not reopen admin data.</t>
        </is>
      </c>
      <c r="K12" s="11" t="inlineStr"/>
      <c r="L12" s="11" t="inlineStr">
        <is>
          <t>Not Run</t>
        </is>
      </c>
      <c r="M12" s="11" t="inlineStr">
        <is>
          <t>High</t>
        </is>
      </c>
      <c r="N12" s="11" t="inlineStr">
        <is>
          <t>Security/Permissions</t>
        </is>
      </c>
      <c r="O12" s="11" t="inlineStr"/>
      <c r="P12" s="11" t="inlineStr"/>
      <c r="Q12" s="11" t="inlineStr"/>
      <c r="R12" s="11" t="inlineStr"/>
      <c r="S12" s="11" t="inlineStr">
        <is>
          <t>Super admin</t>
        </is>
      </c>
      <c r="T12" s="11" t="inlineStr">
        <is>
          <t>Yes</t>
        </is>
      </c>
      <c r="U12" s="11" t="inlineStr">
        <is>
          <t>docs/qa/regression/super-admin/SA-01-sign-in.md</t>
        </is>
      </c>
    </row>
    <row r="13">
      <c r="A13" s="11" t="inlineStr">
        <is>
          <t>SA-01-012</t>
        </is>
      </c>
      <c r="B13" s="11" t="inlineStr">
        <is>
          <t>Super Admin</t>
        </is>
      </c>
      <c r="C13" s="11" t="inlineStr">
        <is>
          <t>SA-01 · Sign in and two-step verification</t>
        </is>
      </c>
      <c r="D13" s="11" t="inlineStr">
        <is>
          <t>Lockout</t>
        </is>
      </c>
      <c r="E13" s="11" t="inlineStr">
        <is>
          <t>Five wrong passwords</t>
        </is>
      </c>
      <c r="F13" s="11" t="inlineStr">
        <is>
          <t>Five wrong passwords lock the account for 15 minutes.</t>
        </is>
      </c>
      <c r="G13" s="11" t="inlineStr">
        <is>
          <t>Use a store owner that does not matter (owner@demo-clothing.example), private window</t>
        </is>
      </c>
      <c r="H13" s="11" t="inlineStr">
        <is>
          <t>Wrong password 6 times</t>
        </is>
      </c>
      <c r="I13" s="11" t="inlineStr">
        <is>
          <t>1. Sign in with a wrong password 5 times; read the message each time
2. Try a 6th time
3. Verify the expected result.</t>
        </is>
      </c>
      <c r="J13" s="11" t="inlineStr">
        <is>
          <t>Tries 1–5: "The email or password provided is incorrect." The 6th: "This user is locked due to having too many failed login attempts." It lifts after 15 minutes.</t>
        </is>
      </c>
      <c r="K13" s="11" t="inlineStr"/>
      <c r="L13" s="11" t="inlineStr">
        <is>
          <t>Not Run</t>
        </is>
      </c>
      <c r="M13" s="11" t="inlineStr">
        <is>
          <t>High</t>
        </is>
      </c>
      <c r="N13" s="11" t="inlineStr">
        <is>
          <t>Security/Permissions</t>
        </is>
      </c>
      <c r="O13" s="11" t="inlineStr"/>
      <c r="P13" s="11" t="inlineStr"/>
      <c r="Q13" s="11" t="inlineStr"/>
      <c r="R13" s="11" t="inlineStr">
        <is>
          <t>Also: Boundary</t>
        </is>
      </c>
      <c r="S13" s="11" t="inlineStr">
        <is>
          <t>Tester (any)</t>
        </is>
      </c>
      <c r="T13" s="11" t="inlineStr">
        <is>
          <t>No</t>
        </is>
      </c>
      <c r="U13" s="11" t="inlineStr">
        <is>
          <t>docs/qa/regression/super-admin/SA-01-sign-in.md</t>
        </is>
      </c>
    </row>
    <row r="14">
      <c r="A14" s="11" t="inlineStr">
        <is>
          <t>SA-01-013</t>
        </is>
      </c>
      <c r="B14" s="11" t="inlineStr">
        <is>
          <t>Super Admin</t>
        </is>
      </c>
      <c r="C14" s="11" t="inlineStr">
        <is>
          <t>SA-01 · Sign in and two-step verification</t>
        </is>
      </c>
      <c r="D14" s="11" t="inlineStr">
        <is>
          <t>Lockout</t>
        </is>
      </c>
      <c r="E14" s="11" t="inlineStr">
        <is>
          <t>Wrong codes</t>
        </is>
      </c>
      <c r="F14" s="11" t="inlineStr">
        <is>
          <t>Repeated wrong two-step codes lock sign-in like wrong passwords.</t>
        </is>
      </c>
      <c r="G14" s="11" t="inlineStr">
        <is>
          <t>On Step 2 of 2 for a test platform account (not your only super admin)</t>
        </is>
      </c>
      <c r="H14" s="11" t="inlineStr">
        <is>
          <t>5 wrong codes</t>
        </is>
      </c>
      <c r="I14" s="11" t="inlineStr">
        <is>
          <t>1. Type a wrong code 5 times
2. Then type the right code
3. Verify the expected result.</t>
        </is>
      </c>
      <c r="J14" s="11" t="inlineStr">
        <is>
          <t>After 5 wrong codes the account is locked for 15 minutes and even the right code is refused until then.</t>
        </is>
      </c>
      <c r="K14" s="11" t="inlineStr"/>
      <c r="L14" s="11" t="inlineStr">
        <is>
          <t>Not Run</t>
        </is>
      </c>
      <c r="M14" s="11" t="inlineStr">
        <is>
          <t>Medium</t>
        </is>
      </c>
      <c r="N14" s="11" t="inlineStr">
        <is>
          <t>Security/Permissions</t>
        </is>
      </c>
      <c r="O14" s="11" t="inlineStr"/>
      <c r="P14" s="11" t="inlineStr"/>
      <c r="Q14" s="11" t="inlineStr"/>
      <c r="R14" s="11" t="inlineStr">
        <is>
          <t>Use a throw-away Support account so you are not locked out.; Also: Boundary</t>
        </is>
      </c>
      <c r="S14" s="11" t="inlineStr">
        <is>
          <t>Super admin</t>
        </is>
      </c>
      <c r="T14" s="11" t="inlineStr">
        <is>
          <t>No</t>
        </is>
      </c>
      <c r="U14" s="11" t="inlineStr">
        <is>
          <t>docs/qa/regression/super-admin/SA-01-sign-in.md</t>
        </is>
      </c>
    </row>
    <row r="15">
      <c r="A15" s="11" t="inlineStr">
        <is>
          <t>SA-01-014</t>
        </is>
      </c>
      <c r="B15" s="11" t="inlineStr">
        <is>
          <t>Super Admin</t>
        </is>
      </c>
      <c r="C15" s="11" t="inlineStr">
        <is>
          <t>SA-01 · Sign in and two-step verification</t>
        </is>
      </c>
      <c r="D15" s="11" t="inlineStr">
        <is>
          <t>Password reset</t>
        </is>
      </c>
      <c r="E15" s="11" t="inlineStr">
        <is>
          <t>Forgot password</t>
        </is>
      </c>
      <c r="F15" s="11" t="inlineStr">
        <is>
          <t>The reset link sets a new password; a too-short one is refused.</t>
        </is>
      </c>
      <c r="G15" s="11" t="inlineStr">
        <is>
          <t>Signed out; a test account</t>
        </is>
      </c>
      <c r="H15" s="11" t="inlineStr">
        <is>
          <t>New password "short1" then a 10+ character one</t>
        </is>
      </c>
      <c r="I15" s="11" t="inlineStr">
        <is>
          <t>1. Use Forgot password with the account's email
2. Open the link printed in the `pnpm dev` terminal ([dev-log email])
3. Try "short1"
4. Then a 10-character or longer password
5. Verify the expected result.</t>
        </is>
      </c>
      <c r="J15" s="11" t="inlineStr">
        <is>
          <t>Short passwords are refused (10 characters at least); a valid one saves and the account signs in with it (still asking for the code when two-step is on).</t>
        </is>
      </c>
      <c r="K15" s="11" t="inlineStr"/>
      <c r="L15" s="11" t="inlineStr">
        <is>
          <t>Not Run</t>
        </is>
      </c>
      <c r="M15" s="11" t="inlineStr">
        <is>
          <t>High</t>
        </is>
      </c>
      <c r="N15" s="11" t="inlineStr">
        <is>
          <t>Validation</t>
        </is>
      </c>
      <c r="O15" s="11" t="inlineStr"/>
      <c r="P15" s="11" t="inlineStr"/>
      <c r="Q15" s="11" t="inlineStr"/>
      <c r="R15" s="11" t="inlineStr"/>
      <c r="S15" s="11" t="inlineStr">
        <is>
          <t>Super admin</t>
        </is>
      </c>
      <c r="T15" s="11" t="inlineStr">
        <is>
          <t>No</t>
        </is>
      </c>
      <c r="U15" s="11" t="inlineStr">
        <is>
          <t>docs/qa/regression/super-admin/SA-01-sign-in.md</t>
        </is>
      </c>
    </row>
    <row r="16">
      <c r="A16" s="11" t="inlineStr">
        <is>
          <t>SA-02-001</t>
        </is>
      </c>
      <c r="B16" s="11" t="inlineStr">
        <is>
          <t>Super Admin</t>
        </is>
      </c>
      <c r="C16" s="11" t="inlineStr">
        <is>
          <t>SA-02 · Platform dashboard</t>
        </is>
      </c>
      <c r="D16" s="11" t="inlineStr">
        <is>
          <t>Figures</t>
        </is>
      </c>
      <c r="E16" s="11" t="inlineStr">
        <is>
          <t>Tiles</t>
        </is>
      </c>
      <c r="F16" s="11" t="inlineStr">
        <is>
          <t>The five figures show as the wireframe.</t>
        </is>
      </c>
      <c r="G16" s="11" t="inlineStr">
        <is>
          <t>Signed in as super admin</t>
        </is>
      </c>
      <c r="H16" s="11" t="inlineStr">
        <is>
          <t>Seeded QA data</t>
        </is>
      </c>
      <c r="I16" s="11" t="inlineStr">
        <is>
          <t>1. Open http://localhost:3000/admin
2. Read the figure tiles
3. Verify the expected result.</t>
        </is>
      </c>
      <c r="J16" s="11" t="inlineStr">
        <is>
          <t>Live stores, MRR (before GST), Past due, Orders today (all stores) and GMV this month are shown with numbers.</t>
        </is>
      </c>
      <c r="K16" s="11" t="inlineStr">
        <is>
          <t>Live stores 2 (1 paying, 1 on trial), MRR ₹6,999 before GST, Past due 0, Orders today 1, GMV October ₹25,273.</t>
        </is>
      </c>
      <c r="L16" s="11" t="inlineStr">
        <is>
          <t>Pass</t>
        </is>
      </c>
      <c r="M16" s="11" t="inlineStr">
        <is>
          <t>High</t>
        </is>
      </c>
      <c r="N16" s="11" t="inlineStr">
        <is>
          <t>UI/UX</t>
        </is>
      </c>
      <c r="O16" s="11" t="inlineStr">
        <is>
          <t>Claude (Claude in Chrome)</t>
        </is>
      </c>
      <c r="P16" s="11" t="inlineStr">
        <is>
          <t>2026-10-10</t>
        </is>
      </c>
      <c r="Q16" s="11" t="inlineStr"/>
      <c r="R16" s="11" t="inlineStr"/>
      <c r="S16" s="11" t="inlineStr">
        <is>
          <t>Super admin</t>
        </is>
      </c>
      <c r="T16" s="11" t="inlineStr">
        <is>
          <t>Yes</t>
        </is>
      </c>
      <c r="U16" s="11" t="inlineStr">
        <is>
          <t>docs/qa/regression/super-admin/SA-02-dashboard.md</t>
        </is>
      </c>
    </row>
    <row r="17">
      <c r="A17" s="11" t="inlineStr">
        <is>
          <t>SA-02-002</t>
        </is>
      </c>
      <c r="B17" s="11" t="inlineStr">
        <is>
          <t>Super Admin</t>
        </is>
      </c>
      <c r="C17" s="11" t="inlineStr">
        <is>
          <t>SA-02 · Platform dashboard</t>
        </is>
      </c>
      <c r="D17" s="11" t="inlineStr">
        <is>
          <t>Figures</t>
        </is>
      </c>
      <c r="E17" s="11" t="inlineStr">
        <is>
          <t>Live stores count</t>
        </is>
      </c>
      <c r="F17" s="11" t="inlineStr">
        <is>
          <t>Live stores counts active stores only.</t>
        </is>
      </c>
      <c r="G17" s="11" t="inlineStr">
        <is>
          <t>Two active stores and Home Orbit as a draft</t>
        </is>
      </c>
      <c r="H17" s="11" t="inlineStr">
        <is>
          <t>—</t>
        </is>
      </c>
      <c r="I17" s="11" t="inlineStr">
        <is>
          <t>1. Read Live stores
2. Compare with All vendors → Active tab count
3. Verify the expected result.</t>
        </is>
      </c>
      <c r="J17" s="11" t="inlineStr">
        <is>
          <t>Live stores equals the Active count (2 on a fresh seed; 3 after Home Orbit goes live).</t>
        </is>
      </c>
      <c r="K17" s="11" t="inlineStr"/>
      <c r="L17" s="11" t="inlineStr">
        <is>
          <t>Not Run</t>
        </is>
      </c>
      <c r="M17" s="11" t="inlineStr">
        <is>
          <t>High</t>
        </is>
      </c>
      <c r="N17" s="11" t="inlineStr">
        <is>
          <t>Integration</t>
        </is>
      </c>
      <c r="O17" s="11" t="inlineStr"/>
      <c r="P17" s="11" t="inlineStr"/>
      <c r="Q17" s="11" t="inlineStr"/>
      <c r="R17" s="11" t="inlineStr"/>
      <c r="S17" s="11" t="inlineStr">
        <is>
          <t>Super admin</t>
        </is>
      </c>
      <c r="T17" s="11" t="inlineStr">
        <is>
          <t>No</t>
        </is>
      </c>
      <c r="U17" s="11" t="inlineStr">
        <is>
          <t>docs/qa/regression/super-admin/SA-02-dashboard.md</t>
        </is>
      </c>
    </row>
    <row r="18">
      <c r="A18" s="11" t="inlineStr">
        <is>
          <t>SA-02-003</t>
        </is>
      </c>
      <c r="B18" s="11" t="inlineStr">
        <is>
          <t>Super Admin</t>
        </is>
      </c>
      <c r="C18" s="11" t="inlineStr">
        <is>
          <t>SA-02 · Platform dashboard</t>
        </is>
      </c>
      <c r="D18" s="11" t="inlineStr">
        <is>
          <t>Sales</t>
        </is>
      </c>
      <c r="E18" s="11" t="inlineStr">
        <is>
          <t>Sales across all stores</t>
        </is>
      </c>
      <c r="F18" s="11" t="inlineStr">
        <is>
          <t>The chart has one bar per day of the month and reflects orders.</t>
        </is>
      </c>
      <c r="G18" s="11" t="inlineStr">
        <is>
          <t>Demo orders created for Home Orbit</t>
        </is>
      </c>
      <c r="H18" s="11" t="inlineStr">
        <is>
          <t>`pnpm demo:orders home-orbit`</t>
        </is>
      </c>
      <c r="I18" s="11" t="inlineStr">
        <is>
          <t>1. Read the Sales across all stores chart
2. Hover or compare bars with Top stores
3. Verify the expected result.</t>
        </is>
      </c>
      <c r="J18" s="11" t="inlineStr">
        <is>
          <t>Bars appear on days with sold orders; days without orders are empty; the month total matches GMV this month.</t>
        </is>
      </c>
      <c r="K18" s="11" t="inlineStr"/>
      <c r="L18" s="11" t="inlineStr">
        <is>
          <t>Not Run</t>
        </is>
      </c>
      <c r="M18" s="11" t="inlineStr">
        <is>
          <t>Medium</t>
        </is>
      </c>
      <c r="N18" s="11" t="inlineStr">
        <is>
          <t>Integration</t>
        </is>
      </c>
      <c r="O18" s="11" t="inlineStr"/>
      <c r="P18" s="11" t="inlineStr"/>
      <c r="Q18" s="11" t="inlineStr"/>
      <c r="R18" s="11" t="inlineStr"/>
      <c r="S18" s="11" t="inlineStr">
        <is>
          <t>Super admin</t>
        </is>
      </c>
      <c r="T18" s="11" t="inlineStr">
        <is>
          <t>No</t>
        </is>
      </c>
      <c r="U18" s="11" t="inlineStr">
        <is>
          <t>docs/qa/regression/super-admin/SA-02-dashboard.md</t>
        </is>
      </c>
    </row>
    <row r="19">
      <c r="A19" s="11" t="inlineStr">
        <is>
          <t>SA-02-004</t>
        </is>
      </c>
      <c r="B19" s="11" t="inlineStr">
        <is>
          <t>Super Admin</t>
        </is>
      </c>
      <c r="C19" s="11" t="inlineStr">
        <is>
          <t>SA-02 · Platform dashboard</t>
        </is>
      </c>
      <c r="D19" s="11" t="inlineStr">
        <is>
          <t>Lists</t>
        </is>
      </c>
      <c r="E19" s="11" t="inlineStr">
        <is>
          <t>Top stores this month</t>
        </is>
      </c>
      <c r="F19" s="11" t="inlineStr">
        <is>
          <t>Stores with orders are ranked by GMV.</t>
        </is>
      </c>
      <c r="G19" s="11" t="inlineStr">
        <is>
          <t>Demo orders exist</t>
        </is>
      </c>
      <c r="H19" s="11" t="inlineStr">
        <is>
          <t>—</t>
        </is>
      </c>
      <c r="I19" s="11" t="inlineStr">
        <is>
          <t>1. Read Top stores this month
2. Verify the expected result.</t>
        </is>
      </c>
      <c r="J19" s="11" t="inlineStr">
        <is>
          <t>Each row shows vendor, industry, orders, GMV and the change against last month to the same day; Home Orbit is listed.</t>
        </is>
      </c>
      <c r="K19" s="11" t="inlineStr">
        <is>
          <t>Top stores: Home Orbit, Door and furniture hardware, Home decor, 8 orders, ₹25,273, New.</t>
        </is>
      </c>
      <c r="L19" s="11" t="inlineStr">
        <is>
          <t>Pass</t>
        </is>
      </c>
      <c r="M19" s="11" t="inlineStr">
        <is>
          <t>Medium</t>
        </is>
      </c>
      <c r="N19" s="11" t="inlineStr">
        <is>
          <t>Functional</t>
        </is>
      </c>
      <c r="O19" s="11" t="inlineStr">
        <is>
          <t>Claude (Claude in Chrome)</t>
        </is>
      </c>
      <c r="P19" s="11" t="inlineStr">
        <is>
          <t>2026-10-10</t>
        </is>
      </c>
      <c r="Q19" s="11" t="inlineStr"/>
      <c r="R19" s="11" t="inlineStr"/>
      <c r="S19" s="11" t="inlineStr">
        <is>
          <t>Super admin</t>
        </is>
      </c>
      <c r="T19" s="11" t="inlineStr">
        <is>
          <t>No</t>
        </is>
      </c>
      <c r="U19" s="11" t="inlineStr">
        <is>
          <t>docs/qa/regression/super-admin/SA-02-dashboard.md</t>
        </is>
      </c>
    </row>
    <row r="20">
      <c r="A20" s="11" t="inlineStr">
        <is>
          <t>SA-02-005</t>
        </is>
      </c>
      <c r="B20" s="11" t="inlineStr">
        <is>
          <t>Super Admin</t>
        </is>
      </c>
      <c r="C20" s="11" t="inlineStr">
        <is>
          <t>SA-02 · Platform dashboard</t>
        </is>
      </c>
      <c r="D20" s="11" t="inlineStr">
        <is>
          <t>Lists</t>
        </is>
      </c>
      <c r="E20" s="11" t="inlineStr">
        <is>
          <t>Needs attention</t>
        </is>
      </c>
      <c r="F20" s="11" t="inlineStr">
        <is>
          <t>Stores needing action are listed with the reason.</t>
        </is>
      </c>
      <c r="G20" s="11" t="inlineStr">
        <is>
          <t>Fresh seed</t>
        </is>
      </c>
      <c r="H20" s="11" t="inlineStr">
        <is>
          <t>—</t>
        </is>
      </c>
      <c r="I20" s="11" t="inlineStr">
        <is>
          <t>1. Read Needs attention
2. Verify the expected result.</t>
        </is>
      </c>
      <c r="J20" s="11" t="inlineStr">
        <is>
          <t>Home Orbit "Store is still a draft" and the owners who have not accepted their invite are listed; each row opens the vendor.</t>
        </is>
      </c>
      <c r="K20" s="11" t="inlineStr">
        <is>
          <t>Home Orbit "Store is still a draft" and three owners who have not accepted their invite.</t>
        </is>
      </c>
      <c r="L20" s="11" t="inlineStr">
        <is>
          <t>Pass</t>
        </is>
      </c>
      <c r="M20" s="11" t="inlineStr">
        <is>
          <t>High</t>
        </is>
      </c>
      <c r="N20" s="11" t="inlineStr">
        <is>
          <t>Functional</t>
        </is>
      </c>
      <c r="O20" s="11" t="inlineStr">
        <is>
          <t>Claude (Claude in Chrome)</t>
        </is>
      </c>
      <c r="P20" s="11" t="inlineStr">
        <is>
          <t>2026-10-10</t>
        </is>
      </c>
      <c r="Q20" s="11" t="inlineStr"/>
      <c r="R20" s="11" t="inlineStr"/>
      <c r="S20" s="11" t="inlineStr">
        <is>
          <t>Super admin</t>
        </is>
      </c>
      <c r="T20" s="11" t="inlineStr">
        <is>
          <t>No</t>
        </is>
      </c>
      <c r="U20" s="11" t="inlineStr">
        <is>
          <t>docs/qa/regression/super-admin/SA-02-dashboard.md</t>
        </is>
      </c>
    </row>
    <row r="21">
      <c r="A21" s="11" t="inlineStr">
        <is>
          <t>SA-02-006</t>
        </is>
      </c>
      <c r="B21" s="11" t="inlineStr">
        <is>
          <t>Super Admin</t>
        </is>
      </c>
      <c r="C21" s="11" t="inlineStr">
        <is>
          <t>SA-02 · Platform dashboard</t>
        </is>
      </c>
      <c r="D21" s="11" t="inlineStr">
        <is>
          <t>Lists</t>
        </is>
      </c>
      <c r="E21" s="11" t="inlineStr">
        <is>
          <t>Recently onboarded with Resend invite</t>
        </is>
      </c>
      <c r="F21" s="11" t="inlineStr">
        <is>
          <t>Recently created stores show with status; Resend invite sends a new link.</t>
        </is>
      </c>
      <c r="G21" s="11" t="inlineStr">
        <is>
          <t>Fresh seed</t>
        </is>
      </c>
      <c r="H21" s="11" t="inlineStr">
        <is>
          <t>—</t>
        </is>
      </c>
      <c r="I21" s="11" t="inlineStr">
        <is>
          <t>1. Read Recently onboarded
2. Press Resend invite on a store whose owner has not accepted
3. Watch the `pnpm dev` terminal
4. Verify the expected result.</t>
        </is>
      </c>
      <c r="J21" s="11" t="inlineStr">
        <is>
          <t>Home Orbit (Draft), Demo Clothing and Demo Sanitary (Active) show; Resend invite prints a [dev-log email] with a set-password link.</t>
        </is>
      </c>
      <c r="K21" s="11" t="inlineStr"/>
      <c r="L21" s="11" t="inlineStr">
        <is>
          <t>Not Run</t>
        </is>
      </c>
      <c r="M21" s="11" t="inlineStr">
        <is>
          <t>Medium</t>
        </is>
      </c>
      <c r="N21" s="11" t="inlineStr">
        <is>
          <t>Integration</t>
        </is>
      </c>
      <c r="O21" s="11" t="inlineStr"/>
      <c r="P21" s="11" t="inlineStr"/>
      <c r="Q21" s="11" t="inlineStr"/>
      <c r="R21" s="11" t="inlineStr"/>
      <c r="S21" s="11" t="inlineStr">
        <is>
          <t>Super admin</t>
        </is>
      </c>
      <c r="T21" s="11" t="inlineStr">
        <is>
          <t>No</t>
        </is>
      </c>
      <c r="U21" s="11" t="inlineStr">
        <is>
          <t>docs/qa/regression/super-admin/SA-02-dashboard.md</t>
        </is>
      </c>
    </row>
    <row r="22">
      <c r="A22" s="11" t="inlineStr">
        <is>
          <t>SA-02-007</t>
        </is>
      </c>
      <c r="B22" s="11" t="inlineStr">
        <is>
          <t>Super Admin</t>
        </is>
      </c>
      <c r="C22" s="11" t="inlineStr">
        <is>
          <t>SA-02 · Platform dashboard</t>
        </is>
      </c>
      <c r="D22" s="11" t="inlineStr">
        <is>
          <t>Navigation</t>
        </is>
      </c>
      <c r="E22" s="11" t="inlineStr">
        <is>
          <t>Platform menu</t>
        </is>
      </c>
      <c r="F22" s="11" t="inlineStr">
        <is>
          <t>The left menu has only platform sections.</t>
        </is>
      </c>
      <c r="G22" s="11" t="inlineStr">
        <is>
          <t>Signed in as super admin, no store session</t>
        </is>
      </c>
      <c r="H22" s="11" t="inlineStr">
        <is>
          <t>—</t>
        </is>
      </c>
      <c r="I22" s="11" t="inlineStr">
        <is>
          <t>1. Read the left menu
2. Verify the expected result.</t>
        </is>
      </c>
      <c r="J22" s="11" t="inlineStr">
        <is>
          <t>Dashboard; Vendors (All vendors, New vendor); Billing (Plans, Subscriptions); Platform (Team and access, Staff users). No store sections such as Products or Orders.</t>
        </is>
      </c>
      <c r="K22" s="11" t="inlineStr">
        <is>
          <t>Menu: Dashboard, All vendors, New vendor, Plans, Subscriptions, Team and access, Staff users; no store sections.</t>
        </is>
      </c>
      <c r="L22" s="11" t="inlineStr">
        <is>
          <t>Pass</t>
        </is>
      </c>
      <c r="M22" s="11" t="inlineStr">
        <is>
          <t>High</t>
        </is>
      </c>
      <c r="N22" s="11" t="inlineStr">
        <is>
          <t>UI/UX</t>
        </is>
      </c>
      <c r="O22" s="11" t="inlineStr">
        <is>
          <t>Claude (Claude in Chrome)</t>
        </is>
      </c>
      <c r="P22" s="11" t="inlineStr">
        <is>
          <t>2026-10-10</t>
        </is>
      </c>
      <c r="Q22" s="11" t="inlineStr"/>
      <c r="R22" s="11" t="inlineStr">
        <is>
          <t>Also: Security/Permissions</t>
        </is>
      </c>
      <c r="S22" s="11" t="inlineStr">
        <is>
          <t>Super admin</t>
        </is>
      </c>
      <c r="T22" s="11" t="inlineStr">
        <is>
          <t>Yes</t>
        </is>
      </c>
      <c r="U22" s="11" t="inlineStr">
        <is>
          <t>docs/qa/regression/super-admin/SA-02-dashboard.md</t>
        </is>
      </c>
    </row>
    <row r="23">
      <c r="A23" s="11" t="inlineStr">
        <is>
          <t>SA-02-008</t>
        </is>
      </c>
      <c r="B23" s="11" t="inlineStr">
        <is>
          <t>Super Admin</t>
        </is>
      </c>
      <c r="C23" s="11" t="inlineStr">
        <is>
          <t>SA-02 · Platform dashboard</t>
        </is>
      </c>
      <c r="D23" s="11" t="inlineStr">
        <is>
          <t>Gate</t>
        </is>
      </c>
      <c r="E23" s="11" t="inlineStr">
        <is>
          <t>Two-step gate</t>
        </is>
      </c>
      <c r="F23" s="11" t="inlineStr">
        <is>
          <t>A platform account without two-step sees the setup in place of the menu.</t>
        </is>
      </c>
      <c r="G23" s="11" t="inlineStr">
        <is>
          <t>A Support teammate who has not set up two-step</t>
        </is>
      </c>
      <c r="H23" s="11" t="inlineStr">
        <is>
          <t>—</t>
        </is>
      </c>
      <c r="I23" s="11" t="inlineStr">
        <is>
          <t>1. Sign in as that teammate
2. Try to open All vendors from the address bar
3. Verify the expected result.</t>
        </is>
      </c>
      <c r="J23" s="11" t="inlineStr">
        <is>
          <t>The panel shows only "Set up two-step sign-in"; no vendor data is shown until it is done.</t>
        </is>
      </c>
      <c r="K23" s="11" t="inlineStr"/>
      <c r="L23" s="11" t="inlineStr">
        <is>
          <t>Not Run</t>
        </is>
      </c>
      <c r="M23" s="11" t="inlineStr">
        <is>
          <t>High</t>
        </is>
      </c>
      <c r="N23" s="11" t="inlineStr">
        <is>
          <t>Security/Permissions</t>
        </is>
      </c>
      <c r="O23" s="11" t="inlineStr"/>
      <c r="P23" s="11" t="inlineStr"/>
      <c r="Q23" s="11" t="inlineStr"/>
      <c r="R23" s="11" t="inlineStr"/>
      <c r="S23" s="11" t="inlineStr">
        <is>
          <t>Super admin</t>
        </is>
      </c>
      <c r="T23" s="11" t="inlineStr">
        <is>
          <t>No</t>
        </is>
      </c>
      <c r="U23" s="11" t="inlineStr">
        <is>
          <t>docs/qa/regression/super-admin/SA-02-dashboard.md</t>
        </is>
      </c>
    </row>
    <row r="24">
      <c r="A24" s="11" t="inlineStr">
        <is>
          <t>SA-03-001</t>
        </is>
      </c>
      <c r="B24" s="11" t="inlineStr">
        <is>
          <t>Super Admin</t>
        </is>
      </c>
      <c r="C24" s="11" t="inlineStr">
        <is>
          <t>SA-03 · All vendors</t>
        </is>
      </c>
      <c r="D24" s="11" t="inlineStr">
        <is>
          <t>List</t>
        </is>
      </c>
      <c r="E24" s="11" t="inlineStr">
        <is>
          <t>Columns and tabs</t>
        </is>
      </c>
      <c r="F24" s="11" t="inlineStr">
        <is>
          <t>The list shows each vendor with the wireframe's columns and tab counts.</t>
        </is>
      </c>
      <c r="G24" s="11" t="inlineStr">
        <is>
          <t>Signed in as super admin; fresh seed</t>
        </is>
      </c>
      <c r="H24" s="11" t="inlineStr">
        <is>
          <t>—</t>
        </is>
      </c>
      <c r="I24" s="11" t="inlineStr">
        <is>
          <t>1. Open Vendors → All vendors
2. Verify the expected result.</t>
        </is>
      </c>
      <c r="J24" s="11" t="inlineStr">
        <is>
          <t>Columns Vendor (with primary domain), Industry, Plan, Store, Subscription, Products (bar against the plan), Orders in 30 days, Created. Tabs All 3, Active 2, Draft 1.</t>
        </is>
      </c>
      <c r="K24" s="11" t="inlineStr">
        <is>
          <t>"3 stores · 2 live", tabs All 3, Active 2, Draft 1, Suspended 0, Archived 0; columns as the wireframe.</t>
        </is>
      </c>
      <c r="L24" s="11" t="inlineStr">
        <is>
          <t>Pass</t>
        </is>
      </c>
      <c r="M24" s="11" t="inlineStr">
        <is>
          <t>High</t>
        </is>
      </c>
      <c r="N24" s="11" t="inlineStr">
        <is>
          <t>UI/UX</t>
        </is>
      </c>
      <c r="O24" s="11" t="inlineStr">
        <is>
          <t>Claude (Claude in Chrome)</t>
        </is>
      </c>
      <c r="P24" s="11" t="inlineStr">
        <is>
          <t>2026-10-10</t>
        </is>
      </c>
      <c r="Q24" s="11" t="inlineStr">
        <is>
          <t>DEF-001 (fixed and retested)</t>
        </is>
      </c>
      <c r="R24" s="11" t="inlineStr"/>
      <c r="S24" s="11" t="inlineStr">
        <is>
          <t>Super admin</t>
        </is>
      </c>
      <c r="T24" s="11" t="inlineStr">
        <is>
          <t>Yes</t>
        </is>
      </c>
      <c r="U24" s="11" t="inlineStr">
        <is>
          <t>docs/qa/regression/super-admin/SA-03-all-vendors.md</t>
        </is>
      </c>
    </row>
    <row r="25">
      <c r="A25" s="11" t="inlineStr">
        <is>
          <t>SA-03-002</t>
        </is>
      </c>
      <c r="B25" s="11" t="inlineStr">
        <is>
          <t>Super Admin</t>
        </is>
      </c>
      <c r="C25" s="11" t="inlineStr">
        <is>
          <t>SA-03 · All vendors</t>
        </is>
      </c>
      <c r="D25" s="11" t="inlineStr">
        <is>
          <t>Search</t>
        </is>
      </c>
      <c r="E25" s="11" t="inlineStr">
        <is>
          <t>By name</t>
        </is>
      </c>
      <c r="F25" s="11" t="inlineStr">
        <is>
          <t>Search narrows the list and the tab counts follow.</t>
        </is>
      </c>
      <c r="G25" s="11" t="inlineStr">
        <is>
          <t>On All vendors</t>
        </is>
      </c>
      <c r="H25" s="11" t="inlineStr">
        <is>
          <t>Search "orbit"</t>
        </is>
      </c>
      <c r="I25" s="11" t="inlineStr">
        <is>
          <t>1. Type orbit in the search box
2. Read the rows and tab counts
3. Verify the expected result.</t>
        </is>
      </c>
      <c r="J25" s="11" t="inlineStr">
        <is>
          <t>Only Home Orbit stays; the tabs count 1 under All and Draft.</t>
        </is>
      </c>
      <c r="K25" s="11" t="inlineStr">
        <is>
          <t>"orbit" left only Home Orbit; tabs became All 1, Active 0, Draft 1; ?q=orbit in the address.</t>
        </is>
      </c>
      <c r="L25" s="11" t="inlineStr">
        <is>
          <t>Pass</t>
        </is>
      </c>
      <c r="M25" s="11" t="inlineStr">
        <is>
          <t>High</t>
        </is>
      </c>
      <c r="N25" s="11" t="inlineStr">
        <is>
          <t>Functional</t>
        </is>
      </c>
      <c r="O25" s="11" t="inlineStr">
        <is>
          <t>Claude (Claude in Chrome)</t>
        </is>
      </c>
      <c r="P25" s="11" t="inlineStr">
        <is>
          <t>2026-10-10</t>
        </is>
      </c>
      <c r="Q25" s="11" t="inlineStr"/>
      <c r="R25" s="11" t="inlineStr">
        <is>
          <t>The extension's type action did not reach this search box; key presses and input events did. A human should type it once.</t>
        </is>
      </c>
      <c r="S25" s="11" t="inlineStr">
        <is>
          <t>Super admin</t>
        </is>
      </c>
      <c r="T25" s="11" t="inlineStr">
        <is>
          <t>Yes</t>
        </is>
      </c>
      <c r="U25" s="11" t="inlineStr">
        <is>
          <t>docs/qa/regression/super-admin/SA-03-all-vendors.md</t>
        </is>
      </c>
    </row>
    <row r="26">
      <c r="A26" s="11" t="inlineStr">
        <is>
          <t>SA-03-003</t>
        </is>
      </c>
      <c r="B26" s="11" t="inlineStr">
        <is>
          <t>Super Admin</t>
        </is>
      </c>
      <c r="C26" s="11" t="inlineStr">
        <is>
          <t>SA-03 · All vendors</t>
        </is>
      </c>
      <c r="D26" s="11" t="inlineStr">
        <is>
          <t>Search</t>
        </is>
      </c>
      <c r="E26" s="11" t="inlineStr">
        <is>
          <t>By slug, GSTIN or domain</t>
        </is>
      </c>
      <c r="F26" s="11" t="inlineStr">
        <is>
          <t>Search also matches slug, GSTIN and domain.</t>
        </is>
      </c>
      <c r="G26" s="11" t="inlineStr">
        <is>
          <t>On All vendors</t>
        </is>
      </c>
      <c r="H26" s="11" t="inlineStr">
        <is>
          <t>Search "demo-sanitary"; then part of a GSTIN; then "localhost"</t>
        </is>
      </c>
      <c r="I26" s="11" t="inlineStr">
        <is>
          <t>1. Search each value in turn
2. Verify the expected result.</t>
        </is>
      </c>
      <c r="J26" s="11" t="inlineStr">
        <is>
          <t>The slug finds Demo Sanitary; a GSTIN fragment finds its store; "localhost" matches stores by their domain.</t>
        </is>
      </c>
      <c r="K26" s="11" t="inlineStr"/>
      <c r="L26" s="11" t="inlineStr">
        <is>
          <t>Not Run</t>
        </is>
      </c>
      <c r="M26" s="11" t="inlineStr">
        <is>
          <t>Medium</t>
        </is>
      </c>
      <c r="N26" s="11" t="inlineStr">
        <is>
          <t>Functional</t>
        </is>
      </c>
      <c r="O26" s="11" t="inlineStr"/>
      <c r="P26" s="11" t="inlineStr"/>
      <c r="Q26" s="11" t="inlineStr"/>
      <c r="R26" s="11" t="inlineStr"/>
      <c r="S26" s="11" t="inlineStr">
        <is>
          <t>Super admin</t>
        </is>
      </c>
      <c r="T26" s="11" t="inlineStr">
        <is>
          <t>No</t>
        </is>
      </c>
      <c r="U26" s="11" t="inlineStr">
        <is>
          <t>docs/qa/regression/super-admin/SA-03-all-vendors.md</t>
        </is>
      </c>
    </row>
    <row r="27">
      <c r="A27" s="11" t="inlineStr">
        <is>
          <t>SA-03-004</t>
        </is>
      </c>
      <c r="B27" s="11" t="inlineStr">
        <is>
          <t>Super Admin</t>
        </is>
      </c>
      <c r="C27" s="11" t="inlineStr">
        <is>
          <t>SA-03 · All vendors</t>
        </is>
      </c>
      <c r="D27" s="11" t="inlineStr">
        <is>
          <t>Search</t>
        </is>
      </c>
      <c r="E27" s="11" t="inlineStr">
        <is>
          <t>No match</t>
        </is>
      </c>
      <c r="F27" s="11" t="inlineStr">
        <is>
          <t>A search with no match shows an empty state.</t>
        </is>
      </c>
      <c r="G27" s="11" t="inlineStr">
        <is>
          <t>On All vendors</t>
        </is>
      </c>
      <c r="H27" s="11" t="inlineStr">
        <is>
          <t>Search "zzzz-no-store"</t>
        </is>
      </c>
      <c r="I27" s="11" t="inlineStr">
        <is>
          <t>1. Type the value
2. Verify the expected result.</t>
        </is>
      </c>
      <c r="J27" s="11" t="inlineStr">
        <is>
          <t>No rows and an empty-list message; clearing the search brings all vendors back.</t>
        </is>
      </c>
      <c r="K27" s="11" t="inlineStr"/>
      <c r="L27" s="11" t="inlineStr">
        <is>
          <t>Not Run</t>
        </is>
      </c>
      <c r="M27" s="11" t="inlineStr">
        <is>
          <t>Low</t>
        </is>
      </c>
      <c r="N27" s="11" t="inlineStr">
        <is>
          <t>Negative</t>
        </is>
      </c>
      <c r="O27" s="11" t="inlineStr"/>
      <c r="P27" s="11" t="inlineStr"/>
      <c r="Q27" s="11" t="inlineStr"/>
      <c r="R27" s="11" t="inlineStr"/>
      <c r="S27" s="11" t="inlineStr">
        <is>
          <t>Super admin</t>
        </is>
      </c>
      <c r="T27" s="11" t="inlineStr">
        <is>
          <t>No</t>
        </is>
      </c>
      <c r="U27" s="11" t="inlineStr">
        <is>
          <t>docs/qa/regression/super-admin/SA-03-all-vendors.md</t>
        </is>
      </c>
    </row>
    <row r="28">
      <c r="A28" s="11" t="inlineStr">
        <is>
          <t>SA-03-005</t>
        </is>
      </c>
      <c r="B28" s="11" t="inlineStr">
        <is>
          <t>Super Admin</t>
        </is>
      </c>
      <c r="C28" s="11" t="inlineStr">
        <is>
          <t>SA-03 · All vendors</t>
        </is>
      </c>
      <c r="D28" s="11" t="inlineStr">
        <is>
          <t>Filters</t>
        </is>
      </c>
      <c r="E28" s="11" t="inlineStr">
        <is>
          <t>Plan, Industry, Subscription</t>
        </is>
      </c>
      <c r="F28" s="11" t="inlineStr">
        <is>
          <t>Each filter narrows the list and is kept in the address.</t>
        </is>
      </c>
      <c r="G28" s="11" t="inlineStr">
        <is>
          <t>On All vendors</t>
        </is>
      </c>
      <c r="H28" s="11" t="inlineStr">
        <is>
          <t>Plan = Starter; Industry = Hardware; Subscription = Trial</t>
        </is>
      </c>
      <c r="I28" s="11" t="inlineStr">
        <is>
          <t>1. Pick each filter in turn
2. Copy the address into a new tab
3. Verify the expected result.</t>
        </is>
      </c>
      <c r="J28" s="11" t="inlineStr">
        <is>
          <t>Rows and tab counts follow each filter; the new tab opens with the same filters applied.</t>
        </is>
      </c>
      <c r="K28" s="11" t="inlineStr"/>
      <c r="L28" s="11" t="inlineStr">
        <is>
          <t>Not Run</t>
        </is>
      </c>
      <c r="M28" s="11" t="inlineStr">
        <is>
          <t>Medium</t>
        </is>
      </c>
      <c r="N28" s="11" t="inlineStr">
        <is>
          <t>Functional</t>
        </is>
      </c>
      <c r="O28" s="11" t="inlineStr"/>
      <c r="P28" s="11" t="inlineStr"/>
      <c r="Q28" s="11" t="inlineStr"/>
      <c r="R28" s="11" t="inlineStr">
        <is>
          <t>Also: Data persistence</t>
        </is>
      </c>
      <c r="S28" s="11" t="inlineStr">
        <is>
          <t>Super admin</t>
        </is>
      </c>
      <c r="T28" s="11" t="inlineStr">
        <is>
          <t>No</t>
        </is>
      </c>
      <c r="U28" s="11" t="inlineStr">
        <is>
          <t>docs/qa/regression/super-admin/SA-03-all-vendors.md</t>
        </is>
      </c>
    </row>
    <row r="29">
      <c r="A29" s="11" t="inlineStr">
        <is>
          <t>SA-03-006</t>
        </is>
      </c>
      <c r="B29" s="11" t="inlineStr">
        <is>
          <t>Super Admin</t>
        </is>
      </c>
      <c r="C29" s="11" t="inlineStr">
        <is>
          <t>SA-03 · All vendors</t>
        </is>
      </c>
      <c r="D29" s="11" t="inlineStr">
        <is>
          <t>Tabs</t>
        </is>
      </c>
      <c r="E29" s="11" t="inlineStr">
        <is>
          <t>Status tabs</t>
        </is>
      </c>
      <c r="F29" s="11" t="inlineStr">
        <is>
          <t>Each status tab shows only stores in that state.</t>
        </is>
      </c>
      <c r="G29" s="11" t="inlineStr">
        <is>
          <t>On All vendors</t>
        </is>
      </c>
      <c r="H29" s="11" t="inlineStr">
        <is>
          <t>—</t>
        </is>
      </c>
      <c r="I29" s="11" t="inlineStr">
        <is>
          <t>1. Click Draft
2. Click Active
3. Verify the expected result.</t>
        </is>
      </c>
      <c r="J29" s="11" t="inlineStr">
        <is>
          <t>Draft lists only Home Orbit (fresh seed); Active lists Demo Sanitary and Demo Clothing.</t>
        </is>
      </c>
      <c r="K29" s="11" t="inlineStr"/>
      <c r="L29" s="11" t="inlineStr">
        <is>
          <t>Not Run</t>
        </is>
      </c>
      <c r="M29" s="11" t="inlineStr">
        <is>
          <t>Medium</t>
        </is>
      </c>
      <c r="N29" s="11" t="inlineStr">
        <is>
          <t>Functional</t>
        </is>
      </c>
      <c r="O29" s="11" t="inlineStr"/>
      <c r="P29" s="11" t="inlineStr"/>
      <c r="Q29" s="11" t="inlineStr"/>
      <c r="R29" s="11" t="inlineStr"/>
      <c r="S29" s="11" t="inlineStr">
        <is>
          <t>Super admin</t>
        </is>
      </c>
      <c r="T29" s="11" t="inlineStr">
        <is>
          <t>No</t>
        </is>
      </c>
      <c r="U29" s="11" t="inlineStr">
        <is>
          <t>docs/qa/regression/super-admin/SA-03-all-vendors.md</t>
        </is>
      </c>
    </row>
    <row r="30">
      <c r="A30" s="11" t="inlineStr">
        <is>
          <t>SA-03-007</t>
        </is>
      </c>
      <c r="B30" s="11" t="inlineStr">
        <is>
          <t>Super Admin</t>
        </is>
      </c>
      <c r="C30" s="11" t="inlineStr">
        <is>
          <t>SA-03 · All vendors</t>
        </is>
      </c>
      <c r="D30" s="11" t="inlineStr">
        <is>
          <t>Plan usage</t>
        </is>
      </c>
      <c r="E30" s="11" t="inlineStr">
        <is>
          <t>Usage bar</t>
        </is>
      </c>
      <c r="F30" s="11" t="inlineStr">
        <is>
          <t>Products used against the plan show a bar and a warning at 90%.</t>
        </is>
      </c>
      <c r="G30" s="11" t="inlineStr">
        <is>
          <t>Home Orbit on Starter (500 products) with 110 products</t>
        </is>
      </c>
      <c r="H30" s="11" t="inlineStr">
        <is>
          <t>—</t>
        </is>
      </c>
      <c r="I30" s="11" t="inlineStr">
        <is>
          <t>1. Read Home Orbit's Products column
2. Verify the expected result.</t>
        </is>
      </c>
      <c r="J30" s="11" t="inlineStr">
        <is>
          <t>"110 / 500" with a bar about a fifth full; a store at 90% or more would show "N% used".</t>
        </is>
      </c>
      <c r="K30" s="11" t="inlineStr"/>
      <c r="L30" s="11" t="inlineStr">
        <is>
          <t>Not Run</t>
        </is>
      </c>
      <c r="M30" s="11" t="inlineStr">
        <is>
          <t>Low</t>
        </is>
      </c>
      <c r="N30" s="11" t="inlineStr">
        <is>
          <t>UI/UX</t>
        </is>
      </c>
      <c r="O30" s="11" t="inlineStr"/>
      <c r="P30" s="11" t="inlineStr"/>
      <c r="Q30" s="11" t="inlineStr"/>
      <c r="R30" s="11" t="inlineStr"/>
      <c r="S30" s="11" t="inlineStr">
        <is>
          <t>Super admin</t>
        </is>
      </c>
      <c r="T30" s="11" t="inlineStr">
        <is>
          <t>No</t>
        </is>
      </c>
      <c r="U30" s="11" t="inlineStr">
        <is>
          <t>docs/qa/regression/super-admin/SA-03-all-vendors.md</t>
        </is>
      </c>
    </row>
    <row r="31">
      <c r="A31" s="11" t="inlineStr">
        <is>
          <t>SA-03-008</t>
        </is>
      </c>
      <c r="B31" s="11" t="inlineStr">
        <is>
          <t>Super Admin</t>
        </is>
      </c>
      <c r="C31" s="11" t="inlineStr">
        <is>
          <t>SA-03 · All vendors</t>
        </is>
      </c>
      <c r="D31" s="11" t="inlineStr">
        <is>
          <t>Export</t>
        </is>
      </c>
      <c r="E31" s="11" t="inlineStr">
        <is>
          <t>Export CSV</t>
        </is>
      </c>
      <c r="F31" s="11" t="inlineStr">
        <is>
          <t>Export downloads the list as filtered.</t>
        </is>
      </c>
      <c r="G31" s="11" t="inlineStr">
        <is>
          <t>On All vendors with the Draft tab</t>
        </is>
      </c>
      <c r="H31" s="11" t="inlineStr">
        <is>
          <t>—</t>
        </is>
      </c>
      <c r="I31" s="11" t="inlineStr">
        <is>
          <t>1. Press Export CSV
2. Open the file
3. Verify the expected result.</t>
        </is>
      </c>
      <c r="J31" s="11" t="inlineStr">
        <is>
          <t>A CSV downloads with one row per vendor shown (only Home Orbit for the Draft tab) and the list's columns.</t>
        </is>
      </c>
      <c r="K31" s="11" t="inlineStr"/>
      <c r="L31" s="11" t="inlineStr">
        <is>
          <t>Not Run</t>
        </is>
      </c>
      <c r="M31" s="11" t="inlineStr">
        <is>
          <t>Medium</t>
        </is>
      </c>
      <c r="N31" s="11" t="inlineStr">
        <is>
          <t>Functional</t>
        </is>
      </c>
      <c r="O31" s="11" t="inlineStr"/>
      <c r="P31" s="11" t="inlineStr"/>
      <c r="Q31" s="11" t="inlineStr"/>
      <c r="R31" s="11" t="inlineStr"/>
      <c r="S31" s="11" t="inlineStr">
        <is>
          <t>Super admin</t>
        </is>
      </c>
      <c r="T31" s="11" t="inlineStr">
        <is>
          <t>No</t>
        </is>
      </c>
      <c r="U31" s="11" t="inlineStr">
        <is>
          <t>docs/qa/regression/super-admin/SA-03-all-vendors.md</t>
        </is>
      </c>
    </row>
    <row r="32">
      <c r="A32" s="11" t="inlineStr">
        <is>
          <t>SA-03-009</t>
        </is>
      </c>
      <c r="B32" s="11" t="inlineStr">
        <is>
          <t>Super Admin</t>
        </is>
      </c>
      <c r="C32" s="11" t="inlineStr">
        <is>
          <t>SA-03 · All vendors</t>
        </is>
      </c>
      <c r="D32" s="11" t="inlineStr">
        <is>
          <t>Navigation</t>
        </is>
      </c>
      <c r="E32" s="11" t="inlineStr">
        <is>
          <t>Open a vendor</t>
        </is>
      </c>
      <c r="F32" s="11" t="inlineStr">
        <is>
          <t>A row opens the vendor overview.</t>
        </is>
      </c>
      <c r="G32" s="11" t="inlineStr">
        <is>
          <t>On All vendors</t>
        </is>
      </c>
      <c r="H32" s="11" t="inlineStr">
        <is>
          <t>—</t>
        </is>
      </c>
      <c r="I32" s="11" t="inlineStr">
        <is>
          <t>1. Click Home Orbit
2. Verify the expected result.</t>
        </is>
      </c>
      <c r="J32" s="11" t="inlineStr">
        <is>
          <t>The vendor overview opens with the tabs Overview, Features, Connectors, Domains, Billing, Staff.</t>
        </is>
      </c>
      <c r="K32" s="11" t="inlineStr">
        <is>
          <t>Home Orbit opened with Features, Connectors, Domains, Billing, Staff tabs.</t>
        </is>
      </c>
      <c r="L32" s="11" t="inlineStr">
        <is>
          <t>Pass</t>
        </is>
      </c>
      <c r="M32" s="11" t="inlineStr">
        <is>
          <t>High</t>
        </is>
      </c>
      <c r="N32" s="11" t="inlineStr">
        <is>
          <t>Functional</t>
        </is>
      </c>
      <c r="O32" s="11" t="inlineStr">
        <is>
          <t>Claude (Claude in Chrome)</t>
        </is>
      </c>
      <c r="P32" s="11" t="inlineStr">
        <is>
          <t>2026-10-10</t>
        </is>
      </c>
      <c r="Q32" s="11" t="inlineStr"/>
      <c r="R32" s="11" t="inlineStr"/>
      <c r="S32" s="11" t="inlineStr">
        <is>
          <t>Super admin</t>
        </is>
      </c>
      <c r="T32" s="11" t="inlineStr">
        <is>
          <t>Yes</t>
        </is>
      </c>
      <c r="U32" s="11" t="inlineStr">
        <is>
          <t>docs/qa/regression/super-admin/SA-03-all-vendors.md</t>
        </is>
      </c>
    </row>
    <row r="33">
      <c r="A33" s="11" t="inlineStr">
        <is>
          <t>SA-04-001</t>
        </is>
      </c>
      <c r="B33" s="11" t="inlineStr">
        <is>
          <t>Super Admin</t>
        </is>
      </c>
      <c r="C33" s="11" t="inlineStr">
        <is>
          <t>SA-04 · New vendor (onboarding)</t>
        </is>
      </c>
      <c r="D33" s="11" t="inlineStr">
        <is>
          <t>Form</t>
        </is>
      </c>
      <c r="E33" s="11" t="inlineStr">
        <is>
          <t>Layout</t>
        </is>
      </c>
      <c r="F33" s="11" t="inlineStr">
        <is>
          <t>The onboarding page has five sections and a summary.</t>
        </is>
      </c>
      <c r="G33" s="11" t="inlineStr">
        <is>
          <t>Signed in as super admin</t>
        </is>
      </c>
      <c r="H33" s="11" t="inlineStr">
        <is>
          <t>—</t>
        </is>
      </c>
      <c r="I33" s="11" t="inlineStr">
        <is>
          <t>1. Open Vendors → New vendor
2. Verify the expected result.</t>
        </is>
      </c>
      <c r="J33" s="11" t="inlineStr">
        <is>
          <t>Sections 1 Business, 2 Store, 3 Plan and trial, 4 Starting features, 5 Owner login, and a "Will be created" summary on the right.</t>
        </is>
      </c>
      <c r="K33" s="11" t="inlineStr"/>
      <c r="L33" s="11" t="inlineStr">
        <is>
          <t>Not Run</t>
        </is>
      </c>
      <c r="M33" s="11" t="inlineStr">
        <is>
          <t>Medium</t>
        </is>
      </c>
      <c r="N33" s="11" t="inlineStr">
        <is>
          <t>UI/UX</t>
        </is>
      </c>
      <c r="O33" s="11" t="inlineStr"/>
      <c r="P33" s="11" t="inlineStr"/>
      <c r="Q33" s="11" t="inlineStr"/>
      <c r="R33" s="11" t="inlineStr"/>
      <c r="S33" s="11" t="inlineStr">
        <is>
          <t>Super admin</t>
        </is>
      </c>
      <c r="T33" s="11" t="inlineStr">
        <is>
          <t>No</t>
        </is>
      </c>
      <c r="U33" s="11" t="inlineStr">
        <is>
          <t>docs/qa/regression/super-admin/SA-04-new-vendor.md</t>
        </is>
      </c>
    </row>
    <row r="34">
      <c r="A34" s="11" t="inlineStr">
        <is>
          <t>SA-04-002</t>
        </is>
      </c>
      <c r="B34" s="11" t="inlineStr">
        <is>
          <t>Super Admin</t>
        </is>
      </c>
      <c r="C34" s="11" t="inlineStr">
        <is>
          <t>SA-04 · New vendor (onboarding)</t>
        </is>
      </c>
      <c r="D34" s="11" t="inlineStr">
        <is>
          <t>Business</t>
        </is>
      </c>
      <c r="E34" s="11" t="inlineStr">
        <is>
          <t>GSTIN checksum</t>
        </is>
      </c>
      <c r="F34" s="11" t="inlineStr">
        <is>
          <t>A GSTIN with a wrong last character is refused.</t>
        </is>
      </c>
      <c r="G34" s="11" t="inlineStr">
        <is>
          <t>On New vendor</t>
        </is>
      </c>
      <c r="H34" s="11" t="inlineStr">
        <is>
          <t>GSTIN 29AABCT1234F1ZN</t>
        </is>
      </c>
      <c r="I34" s="11" t="inlineStr">
        <is>
          <t>1. Type the GSTIN
2. Verify the expected result.</t>
        </is>
      </c>
      <c r="J34" s="11" t="inlineStr">
        <is>
          <t>"The last character does not match. Check for a typing mistake" shows under the field.</t>
        </is>
      </c>
      <c r="K34" s="11" t="inlineStr"/>
      <c r="L34" s="11" t="inlineStr">
        <is>
          <t>Not Run</t>
        </is>
      </c>
      <c r="M34" s="11" t="inlineStr">
        <is>
          <t>High</t>
        </is>
      </c>
      <c r="N34" s="11" t="inlineStr">
        <is>
          <t>Validation</t>
        </is>
      </c>
      <c r="O34" s="11" t="inlineStr"/>
      <c r="P34" s="11" t="inlineStr"/>
      <c r="Q34" s="11" t="inlineStr"/>
      <c r="R34" s="11" t="inlineStr"/>
      <c r="S34" s="11" t="inlineStr">
        <is>
          <t>Super admin</t>
        </is>
      </c>
      <c r="T34" s="11" t="inlineStr">
        <is>
          <t>Yes</t>
        </is>
      </c>
      <c r="U34" s="11" t="inlineStr">
        <is>
          <t>docs/qa/regression/super-admin/SA-04-new-vendor.md</t>
        </is>
      </c>
    </row>
    <row r="35">
      <c r="A35" s="11" t="inlineStr">
        <is>
          <t>SA-04-003</t>
        </is>
      </c>
      <c r="B35" s="11" t="inlineStr">
        <is>
          <t>Super Admin</t>
        </is>
      </c>
      <c r="C35" s="11" t="inlineStr">
        <is>
          <t>SA-04 · New vendor (onboarding)</t>
        </is>
      </c>
      <c r="D35" s="11" t="inlineStr">
        <is>
          <t>Business</t>
        </is>
      </c>
      <c r="E35" s="11" t="inlineStr">
        <is>
          <t>GSTIN fills PAN and state</t>
        </is>
      </c>
      <c r="F35" s="11" t="inlineStr">
        <is>
          <t>A valid GSTIN fills PAN and state.</t>
        </is>
      </c>
      <c r="G35" s="11" t="inlineStr">
        <is>
          <t>On New vendor</t>
        </is>
      </c>
      <c r="H35" s="11" t="inlineStr">
        <is>
          <t>GSTIN 29AABCT1234F1ZM</t>
        </is>
      </c>
      <c r="I35" s="11" t="inlineStr">
        <is>
          <t>1. Type the GSTIN
2. Verify the expected result.</t>
        </is>
      </c>
      <c r="J35" s="11" t="inlineStr">
        <is>
          <t>PAN AABCT1234F and State Karnataka (29) fill in by themselves.</t>
        </is>
      </c>
      <c r="K35" s="11" t="inlineStr"/>
      <c r="L35" s="11" t="inlineStr">
        <is>
          <t>Not Run</t>
        </is>
      </c>
      <c r="M35" s="11" t="inlineStr">
        <is>
          <t>High</t>
        </is>
      </c>
      <c r="N35" s="11" t="inlineStr">
        <is>
          <t>Functional</t>
        </is>
      </c>
      <c r="O35" s="11" t="inlineStr"/>
      <c r="P35" s="11" t="inlineStr"/>
      <c r="Q35" s="11" t="inlineStr"/>
      <c r="R35" s="11" t="inlineStr"/>
      <c r="S35" s="11" t="inlineStr">
        <is>
          <t>Super admin</t>
        </is>
      </c>
      <c r="T35" s="11" t="inlineStr">
        <is>
          <t>No</t>
        </is>
      </c>
      <c r="U35" s="11" t="inlineStr">
        <is>
          <t>docs/qa/regression/super-admin/SA-04-new-vendor.md</t>
        </is>
      </c>
    </row>
    <row r="36">
      <c r="A36" s="11" t="inlineStr">
        <is>
          <t>SA-04-004</t>
        </is>
      </c>
      <c r="B36" s="11" t="inlineStr">
        <is>
          <t>Super Admin</t>
        </is>
      </c>
      <c r="C36" s="11" t="inlineStr">
        <is>
          <t>SA-04 · New vendor (onboarding)</t>
        </is>
      </c>
      <c r="D36" s="11" t="inlineStr">
        <is>
          <t>Business</t>
        </is>
      </c>
      <c r="E36" s="11" t="inlineStr">
        <is>
          <t>Required fields</t>
        </is>
      </c>
      <c r="F36" s="11" t="inlineStr">
        <is>
          <t>The vendor is not created with required fields empty.</t>
        </is>
      </c>
      <c r="G36" s="11" t="inlineStr">
        <is>
          <t>On New vendor</t>
        </is>
      </c>
      <c r="H36" s="11" t="inlineStr">
        <is>
          <t>All fields empty</t>
        </is>
      </c>
      <c r="I36" s="11" t="inlineStr">
        <is>
          <t>1. Press Create vendor
2. Verify the expected result.</t>
        </is>
      </c>
      <c r="J36" s="11" t="inlineStr">
        <is>
          <t>Errors on Store name, Legal name, Industry, slug, plan and the owner's name and email; nothing is created.</t>
        </is>
      </c>
      <c r="K36" s="11" t="inlineStr"/>
      <c r="L36" s="11" t="inlineStr">
        <is>
          <t>Not Run</t>
        </is>
      </c>
      <c r="M36" s="11" t="inlineStr">
        <is>
          <t>High</t>
        </is>
      </c>
      <c r="N36" s="11" t="inlineStr">
        <is>
          <t>Validation</t>
        </is>
      </c>
      <c r="O36" s="11" t="inlineStr"/>
      <c r="P36" s="11" t="inlineStr"/>
      <c r="Q36" s="11" t="inlineStr"/>
      <c r="R36" s="11" t="inlineStr"/>
      <c r="S36" s="11" t="inlineStr">
        <is>
          <t>Super admin</t>
        </is>
      </c>
      <c r="T36" s="11" t="inlineStr">
        <is>
          <t>No</t>
        </is>
      </c>
      <c r="U36" s="11" t="inlineStr">
        <is>
          <t>docs/qa/regression/super-admin/SA-04-new-vendor.md</t>
        </is>
      </c>
    </row>
    <row r="37">
      <c r="A37" s="11" t="inlineStr">
        <is>
          <t>SA-04-005</t>
        </is>
      </c>
      <c r="B37" s="11" t="inlineStr">
        <is>
          <t>Super Admin</t>
        </is>
      </c>
      <c r="C37" s="11" t="inlineStr">
        <is>
          <t>SA-04 · New vendor (onboarding)</t>
        </is>
      </c>
      <c r="D37" s="11" t="inlineStr">
        <is>
          <t>Store</t>
        </is>
      </c>
      <c r="E37" s="11" t="inlineStr">
        <is>
          <t>Slug and address</t>
        </is>
      </c>
      <c r="F37" s="11" t="inlineStr">
        <is>
          <t>The slug becomes the store address; a used slug is refused.</t>
        </is>
      </c>
      <c r="G37" s="11" t="inlineStr">
        <is>
          <t>On New vendor</t>
        </is>
      </c>
      <c r="H37" s="11" t="inlineStr">
        <is>
          <t>Slug test-locks; then home-orbit</t>
        </is>
      </c>
      <c r="I37" s="11" t="inlineStr">
        <is>
          <t>1. Type test-locks
2. Read the summary
3. Change the slug to home-orbit and try to create
4. Verify the expected result.</t>
        </is>
      </c>
      <c r="J37" s="11" t="inlineStr">
        <is>
          <t>The summary shows test-locks.localhost; "home-orbit" is refused as already used.</t>
        </is>
      </c>
      <c r="K37" s="11" t="inlineStr"/>
      <c r="L37" s="11" t="inlineStr">
        <is>
          <t>Not Run</t>
        </is>
      </c>
      <c r="M37" s="11" t="inlineStr">
        <is>
          <t>High</t>
        </is>
      </c>
      <c r="N37" s="11" t="inlineStr">
        <is>
          <t>Validation</t>
        </is>
      </c>
      <c r="O37" s="11" t="inlineStr"/>
      <c r="P37" s="11" t="inlineStr"/>
      <c r="Q37" s="11" t="inlineStr"/>
      <c r="R37" s="11" t="inlineStr"/>
      <c r="S37" s="11" t="inlineStr">
        <is>
          <t>Super admin</t>
        </is>
      </c>
      <c r="T37" s="11" t="inlineStr">
        <is>
          <t>No</t>
        </is>
      </c>
      <c r="U37" s="11" t="inlineStr">
        <is>
          <t>docs/qa/regression/super-admin/SA-04-new-vendor.md</t>
        </is>
      </c>
    </row>
    <row r="38">
      <c r="A38" s="11" t="inlineStr">
        <is>
          <t>SA-04-006</t>
        </is>
      </c>
      <c r="B38" s="11" t="inlineStr">
        <is>
          <t>Super Admin</t>
        </is>
      </c>
      <c r="C38" s="11" t="inlineStr">
        <is>
          <t>SA-04 · New vendor (onboarding)</t>
        </is>
      </c>
      <c r="D38" s="11" t="inlineStr">
        <is>
          <t>Plan</t>
        </is>
      </c>
      <c r="E38" s="11" t="inlineStr">
        <is>
          <t>Plan and trial</t>
        </is>
      </c>
      <c r="F38" s="11" t="inlineStr">
        <is>
          <t>Choosing a plan shows its starting offer and the trial.</t>
        </is>
      </c>
      <c r="G38" s="11" t="inlineStr">
        <is>
          <t>On New vendor</t>
        </is>
      </c>
      <c r="H38" s="11" t="inlineStr">
        <is>
          <t>Starter; trial 14 days</t>
        </is>
      </c>
      <c r="I38" s="11" t="inlineStr">
        <is>
          <t>1. Pick Starter
2. Set the trial to 14 days
3. Verify the expected result.</t>
        </is>
      </c>
      <c r="J38" s="11" t="inlineStr">
        <is>
          <t>"Starts at ₹9,999 for 3 months" shows and the summary lists the trial end date.</t>
        </is>
      </c>
      <c r="K38" s="11" t="inlineStr"/>
      <c r="L38" s="11" t="inlineStr">
        <is>
          <t>Not Run</t>
        </is>
      </c>
      <c r="M38" s="11" t="inlineStr">
        <is>
          <t>Medium</t>
        </is>
      </c>
      <c r="N38" s="11" t="inlineStr">
        <is>
          <t>Functional</t>
        </is>
      </c>
      <c r="O38" s="11" t="inlineStr"/>
      <c r="P38" s="11" t="inlineStr"/>
      <c r="Q38" s="11" t="inlineStr"/>
      <c r="R38" s="11" t="inlineStr"/>
      <c r="S38" s="11" t="inlineStr">
        <is>
          <t>Super admin</t>
        </is>
      </c>
      <c r="T38" s="11" t="inlineStr">
        <is>
          <t>No</t>
        </is>
      </c>
      <c r="U38" s="11" t="inlineStr">
        <is>
          <t>docs/qa/regression/super-admin/SA-04-new-vendor.md</t>
        </is>
      </c>
    </row>
    <row r="39">
      <c r="A39" s="11" t="inlineStr">
        <is>
          <t>SA-04-007</t>
        </is>
      </c>
      <c r="B39" s="11" t="inlineStr">
        <is>
          <t>Super Admin</t>
        </is>
      </c>
      <c r="C39" s="11" t="inlineStr">
        <is>
          <t>SA-04 · New vendor (onboarding)</t>
        </is>
      </c>
      <c r="D39" s="11" t="inlineStr">
        <is>
          <t>Features</t>
        </is>
      </c>
      <c r="E39" s="11" t="inlineStr">
        <is>
          <t>Preset within the plan</t>
        </is>
      </c>
      <c r="F39" s="11" t="inlineStr">
        <is>
          <t>Starting features come from the industry preset, capped by the plan.</t>
        </is>
      </c>
      <c r="G39" s="11" t="inlineStr">
        <is>
          <t>Industry Locks, plan Starter</t>
        </is>
      </c>
      <c r="H39" s="11" t="inlineStr">
        <is>
          <t>—</t>
        </is>
      </c>
      <c r="I39" s="11" t="inlineStr">
        <is>
          <t>1. Read section 4
2. Verify the expected result.</t>
        </is>
      </c>
      <c r="J39" s="11" t="inlineStr">
        <is>
          <t>Features from the preset are switched on; features outside Starter are locked.</t>
        </is>
      </c>
      <c r="K39" s="11" t="inlineStr"/>
      <c r="L39" s="11" t="inlineStr">
        <is>
          <t>Not Run</t>
        </is>
      </c>
      <c r="M39" s="11" t="inlineStr">
        <is>
          <t>Medium</t>
        </is>
      </c>
      <c r="N39" s="11" t="inlineStr">
        <is>
          <t>Functional</t>
        </is>
      </c>
      <c r="O39" s="11" t="inlineStr"/>
      <c r="P39" s="11" t="inlineStr"/>
      <c r="Q39" s="11" t="inlineStr"/>
      <c r="R39" s="11" t="inlineStr"/>
      <c r="S39" s="11" t="inlineStr">
        <is>
          <t>Super admin</t>
        </is>
      </c>
      <c r="T39" s="11" t="inlineStr">
        <is>
          <t>No</t>
        </is>
      </c>
      <c r="U39" s="11" t="inlineStr">
        <is>
          <t>docs/qa/regression/super-admin/SA-04-new-vendor.md</t>
        </is>
      </c>
    </row>
    <row r="40">
      <c r="A40" s="11" t="inlineStr">
        <is>
          <t>SA-04-008</t>
        </is>
      </c>
      <c r="B40" s="11" t="inlineStr">
        <is>
          <t>Super Admin</t>
        </is>
      </c>
      <c r="C40" s="11" t="inlineStr">
        <is>
          <t>SA-04 · New vendor (onboarding)</t>
        </is>
      </c>
      <c r="D40" s="11" t="inlineStr">
        <is>
          <t>Create</t>
        </is>
      </c>
      <c r="E40" s="11" t="inlineStr">
        <is>
          <t>Create vendor with invite</t>
        </is>
      </c>
      <c r="F40" s="11" t="inlineStr">
        <is>
          <t>Creating the vendor makes a draft store and emails the owner.</t>
        </is>
      </c>
      <c r="G40" s="11" t="inlineStr">
        <is>
          <t>Valid form</t>
        </is>
      </c>
      <c r="H40" s="11" t="inlineStr">
        <is>
          <t>Test Locks / Test Locks Pvt Ltd / Locks / 29AABCT1234F1ZM / test-locks / Starter / Test Owner, owner@testlocks.example, "Email the invite now" ticked</t>
        </is>
      </c>
      <c r="I40" s="11" t="inlineStr">
        <is>
          <t>1. Fill the form
2. Press Create vendor
3. Watch the `pnpm dev` terminal
4. Open http://test-locks.localhost:3000
5. Verify the expected result.</t>
        </is>
      </c>
      <c r="J40" s="11" t="inlineStr">
        <is>
          <t>You land on the new vendor overview as Store draft; the terminal prints "You're invited to manage Test Locks" with a link; the store opens with a preview banner in the default design and no products.</t>
        </is>
      </c>
      <c r="K40" s="11" t="inlineStr"/>
      <c r="L40" s="11" t="inlineStr">
        <is>
          <t>Not Run</t>
        </is>
      </c>
      <c r="M40" s="11" t="inlineStr">
        <is>
          <t>Critical</t>
        </is>
      </c>
      <c r="N40" s="11" t="inlineStr">
        <is>
          <t>Functional</t>
        </is>
      </c>
      <c r="O40" s="11" t="inlineStr"/>
      <c r="P40" s="11" t="inlineStr"/>
      <c r="Q40" s="11" t="inlineStr"/>
      <c r="R40" s="11" t="inlineStr">
        <is>
          <t>Creates a throw-away store; reset the QA database afterwards if needed.; Also: Integration</t>
        </is>
      </c>
      <c r="S40" s="11" t="inlineStr">
        <is>
          <t>Super admin</t>
        </is>
      </c>
      <c r="T40" s="11" t="inlineStr">
        <is>
          <t>Yes</t>
        </is>
      </c>
      <c r="U40" s="11" t="inlineStr">
        <is>
          <t>docs/qa/regression/super-admin/SA-04-new-vendor.md</t>
        </is>
      </c>
    </row>
    <row r="41">
      <c r="A41" s="11" t="inlineStr">
        <is>
          <t>SA-04-009</t>
        </is>
      </c>
      <c r="B41" s="11" t="inlineStr">
        <is>
          <t>Super Admin</t>
        </is>
      </c>
      <c r="C41" s="11" t="inlineStr">
        <is>
          <t>SA-04 · New vendor (onboarding)</t>
        </is>
      </c>
      <c r="D41" s="11" t="inlineStr">
        <is>
          <t>Create</t>
        </is>
      </c>
      <c r="E41" s="11" t="inlineStr">
        <is>
          <t>Duplicate owner email</t>
        </is>
      </c>
      <c r="F41" s="11" t="inlineStr">
        <is>
          <t>An owner email that already has an account is handled.</t>
        </is>
      </c>
      <c r="G41" s="11" t="inlineStr">
        <is>
          <t>Valid form</t>
        </is>
      </c>
      <c r="H41" s="11" t="inlineStr">
        <is>
          <t>Owner email owner@homeorbit.example</t>
        </is>
      </c>
      <c r="I41" s="11" t="inlineStr">
        <is>
          <t>1. Fill the form with an existing owner email
2. Create
3. Verify the expected result.</t>
        </is>
      </c>
      <c r="J41" s="11" t="inlineStr">
        <is>
          <t>Either the existing user is added as owner of the new store or a clear message explains; no duplicate account is made.</t>
        </is>
      </c>
      <c r="K41" s="11" t="inlineStr"/>
      <c r="L41" s="11" t="inlineStr">
        <is>
          <t>Not Run</t>
        </is>
      </c>
      <c r="M41" s="11" t="inlineStr">
        <is>
          <t>Medium</t>
        </is>
      </c>
      <c r="N41" s="11" t="inlineStr">
        <is>
          <t>Negative</t>
        </is>
      </c>
      <c r="O41" s="11" t="inlineStr"/>
      <c r="P41" s="11" t="inlineStr"/>
      <c r="Q41" s="11" t="inlineStr"/>
      <c r="R41" s="11" t="inlineStr">
        <is>
          <t>Requires confirmation of the intended behaviour.</t>
        </is>
      </c>
      <c r="S41" s="11" t="inlineStr">
        <is>
          <t>Super admin</t>
        </is>
      </c>
      <c r="T41" s="11" t="inlineStr">
        <is>
          <t>No</t>
        </is>
      </c>
      <c r="U41" s="11" t="inlineStr">
        <is>
          <t>docs/qa/regression/super-admin/SA-04-new-vendor.md</t>
        </is>
      </c>
    </row>
    <row r="42">
      <c r="A42" s="11" t="inlineStr">
        <is>
          <t>SA-05-001</t>
        </is>
      </c>
      <c r="B42" s="11" t="inlineStr">
        <is>
          <t>Super Admin</t>
        </is>
      </c>
      <c r="C42" s="11" t="inlineStr">
        <is>
          <t>SA-05 · Vendor overview and store status</t>
        </is>
      </c>
      <c r="D42" s="11" t="inlineStr">
        <is>
          <t>Header</t>
        </is>
      </c>
      <c r="E42" s="11" t="inlineStr">
        <is>
          <t>Status and actions</t>
        </is>
      </c>
      <c r="F42" s="11" t="inlineStr">
        <is>
          <t>The header shows the store's state and actions.</t>
        </is>
      </c>
      <c r="G42" s="11" t="inlineStr">
        <is>
          <t>Home Orbit as a draft</t>
        </is>
      </c>
      <c r="H42" s="11" t="inlineStr">
        <is>
          <t>—</t>
        </is>
      </c>
      <c r="I42" s="11" t="inlineStr">
        <is>
          <t>1. Open All vendors → Home Orbit
2. Verify the expected result.</t>
        </is>
      </c>
      <c r="J42" s="11" t="inlineStr">
        <is>
          <t>Logo or initials, "Store draft", "Starter plan", home-orbit.localhost, View store and Go live.</t>
        </is>
      </c>
      <c r="K42" s="11" t="inlineStr">
        <is>
          <t>Store draft, Starter plan, home-orbit.localhost, View store, Go live, Manage store, View as support.</t>
        </is>
      </c>
      <c r="L42" s="11" t="inlineStr">
        <is>
          <t>Pass</t>
        </is>
      </c>
      <c r="M42" s="11" t="inlineStr">
        <is>
          <t>High</t>
        </is>
      </c>
      <c r="N42" s="11" t="inlineStr">
        <is>
          <t>UI/UX</t>
        </is>
      </c>
      <c r="O42" s="11" t="inlineStr">
        <is>
          <t>Claude (Claude in Chrome)</t>
        </is>
      </c>
      <c r="P42" s="11" t="inlineStr">
        <is>
          <t>2026-10-10</t>
        </is>
      </c>
      <c r="Q42" s="11" t="inlineStr"/>
      <c r="R42" s="11" t="inlineStr"/>
      <c r="S42" s="11" t="inlineStr">
        <is>
          <t>Super admin</t>
        </is>
      </c>
      <c r="T42" s="11" t="inlineStr">
        <is>
          <t>Yes</t>
        </is>
      </c>
      <c r="U42" s="11" t="inlineStr">
        <is>
          <t>docs/qa/regression/super-admin/SA-05-vendor-overview.md</t>
        </is>
      </c>
    </row>
    <row r="43">
      <c r="A43" s="11" t="inlineStr">
        <is>
          <t>SA-05-002</t>
        </is>
      </c>
      <c r="B43" s="11" t="inlineStr">
        <is>
          <t>Super Admin</t>
        </is>
      </c>
      <c r="C43" s="11" t="inlineStr">
        <is>
          <t>SA-05 · Vendor overview and store status</t>
        </is>
      </c>
      <c r="D43" s="11" t="inlineStr">
        <is>
          <t>Business details</t>
        </is>
      </c>
      <c r="E43" s="11" t="inlineStr">
        <is>
          <t>Read-only then Edit</t>
        </is>
      </c>
      <c r="F43" s="11" t="inlineStr">
        <is>
          <t>Business details are read-only until Edit is pressed.</t>
        </is>
      </c>
      <c r="G43" s="11" t="inlineStr">
        <is>
          <t>On the overview</t>
        </is>
      </c>
      <c r="H43" s="11" t="inlineStr">
        <is>
          <t>—</t>
        </is>
      </c>
      <c r="I43" s="11" t="inlineStr">
        <is>
          <t>1. Read Business details
2. Press Edit
3. Verify the expected result.</t>
        </is>
      </c>
      <c r="J43" s="11" t="inlineStr">
        <is>
          <t>Values show as text first; Edit opens the form with the same values.</t>
        </is>
      </c>
      <c r="K43" s="11" t="inlineStr"/>
      <c r="L43" s="11" t="inlineStr">
        <is>
          <t>Not Run</t>
        </is>
      </c>
      <c r="M43" s="11" t="inlineStr">
        <is>
          <t>Medium</t>
        </is>
      </c>
      <c r="N43" s="11" t="inlineStr">
        <is>
          <t>Functional</t>
        </is>
      </c>
      <c r="O43" s="11" t="inlineStr"/>
      <c r="P43" s="11" t="inlineStr"/>
      <c r="Q43" s="11" t="inlineStr"/>
      <c r="R43" s="11" t="inlineStr"/>
      <c r="S43" s="11" t="inlineStr">
        <is>
          <t>Super admin</t>
        </is>
      </c>
      <c r="T43" s="11" t="inlineStr">
        <is>
          <t>No</t>
        </is>
      </c>
      <c r="U43" s="11" t="inlineStr">
        <is>
          <t>docs/qa/regression/super-admin/SA-05-vendor-overview.md</t>
        </is>
      </c>
    </row>
    <row r="44">
      <c r="A44" s="11" t="inlineStr">
        <is>
          <t>SA-05-003</t>
        </is>
      </c>
      <c r="B44" s="11" t="inlineStr">
        <is>
          <t>Super Admin</t>
        </is>
      </c>
      <c r="C44" s="11" t="inlineStr">
        <is>
          <t>SA-05 · Vendor overview and store status</t>
        </is>
      </c>
      <c r="D44" s="11" t="inlineStr">
        <is>
          <t>Business details</t>
        </is>
      </c>
      <c r="E44" s="11" t="inlineStr">
        <is>
          <t>GSTIN fills PAN and state</t>
        </is>
      </c>
      <c r="F44" s="11" t="inlineStr">
        <is>
          <t>Changing the GSTIN updates PAN and state.</t>
        </is>
      </c>
      <c r="G44" s="11" t="inlineStr">
        <is>
          <t>Business details in edit mode</t>
        </is>
      </c>
      <c r="H44" s="11" t="inlineStr">
        <is>
          <t>GSTIN 27AAPFU0939F1ZV</t>
        </is>
      </c>
      <c r="I44" s="11" t="inlineStr">
        <is>
          <t>1. Type the GSTIN
2. Save
3. Verify the expected result.</t>
        </is>
      </c>
      <c r="J44" s="11" t="inlineStr">
        <is>
          <t>PAN and State (Maharashtra 27) fill in; Save succeeds and the read-only view shows them after a reload.</t>
        </is>
      </c>
      <c r="K44" s="11" t="inlineStr"/>
      <c r="L44" s="11" t="inlineStr">
        <is>
          <t>Not Run</t>
        </is>
      </c>
      <c r="M44" s="11" t="inlineStr">
        <is>
          <t>High</t>
        </is>
      </c>
      <c r="N44" s="11" t="inlineStr">
        <is>
          <t>Functional</t>
        </is>
      </c>
      <c r="O44" s="11" t="inlineStr"/>
      <c r="P44" s="11" t="inlineStr"/>
      <c r="Q44" s="11" t="inlineStr"/>
      <c r="R44" s="11" t="inlineStr">
        <is>
          <t>Also: Data persistence</t>
        </is>
      </c>
      <c r="S44" s="11" t="inlineStr">
        <is>
          <t>Super admin</t>
        </is>
      </c>
      <c r="T44" s="11" t="inlineStr">
        <is>
          <t>No</t>
        </is>
      </c>
      <c r="U44" s="11" t="inlineStr">
        <is>
          <t>docs/qa/regression/super-admin/SA-05-vendor-overview.md</t>
        </is>
      </c>
    </row>
    <row r="45">
      <c r="A45" s="11" t="inlineStr">
        <is>
          <t>SA-05-004</t>
        </is>
      </c>
      <c r="B45" s="11" t="inlineStr">
        <is>
          <t>Super Admin</t>
        </is>
      </c>
      <c r="C45" s="11" t="inlineStr">
        <is>
          <t>SA-05 · Vendor overview and store status</t>
        </is>
      </c>
      <c r="D45" s="11" t="inlineStr">
        <is>
          <t>Business details</t>
        </is>
      </c>
      <c r="E45" s="11" t="inlineStr">
        <is>
          <t>Invalid GSTIN</t>
        </is>
      </c>
      <c r="F45" s="11" t="inlineStr">
        <is>
          <t>An invalid GSTIN is not saved.</t>
        </is>
      </c>
      <c r="G45" s="11" t="inlineStr">
        <is>
          <t>Edit mode</t>
        </is>
      </c>
      <c r="H45" s="11" t="inlineStr">
        <is>
          <t>GSTIN 27AAPFU0939F1ZX</t>
        </is>
      </c>
      <c r="I45" s="11" t="inlineStr">
        <is>
          <t>1. Type the GSTIN
2. Save
3. Verify the expected result.</t>
        </is>
      </c>
      <c r="J45" s="11" t="inlineStr">
        <is>
          <t>The checksum error shows and nothing is saved.</t>
        </is>
      </c>
      <c r="K45" s="11" t="inlineStr"/>
      <c r="L45" s="11" t="inlineStr">
        <is>
          <t>Not Run</t>
        </is>
      </c>
      <c r="M45" s="11" t="inlineStr">
        <is>
          <t>High</t>
        </is>
      </c>
      <c r="N45" s="11" t="inlineStr">
        <is>
          <t>Validation</t>
        </is>
      </c>
      <c r="O45" s="11" t="inlineStr"/>
      <c r="P45" s="11" t="inlineStr"/>
      <c r="Q45" s="11" t="inlineStr"/>
      <c r="R45" s="11" t="inlineStr"/>
      <c r="S45" s="11" t="inlineStr">
        <is>
          <t>Super admin</t>
        </is>
      </c>
      <c r="T45" s="11" t="inlineStr">
        <is>
          <t>No</t>
        </is>
      </c>
      <c r="U45" s="11" t="inlineStr">
        <is>
          <t>docs/qa/regression/super-admin/SA-05-vendor-overview.md</t>
        </is>
      </c>
    </row>
    <row r="46">
      <c r="A46" s="11" t="inlineStr">
        <is>
          <t>SA-05-005</t>
        </is>
      </c>
      <c r="B46" s="11" t="inlineStr">
        <is>
          <t>Super Admin</t>
        </is>
      </c>
      <c r="C46" s="11" t="inlineStr">
        <is>
          <t>SA-05 · Vendor overview and store status</t>
        </is>
      </c>
      <c r="D46" s="11" t="inlineStr">
        <is>
          <t>Plan usage</t>
        </is>
      </c>
      <c r="E46" s="11" t="inlineStr">
        <is>
          <t>Usage figures</t>
        </is>
      </c>
      <c r="F46" s="11" t="inlineStr">
        <is>
          <t>Plan usage shows products and staff against the plan.</t>
        </is>
      </c>
      <c r="G46" s="11" t="inlineStr">
        <is>
          <t>On the overview</t>
        </is>
      </c>
      <c r="H46" s="11" t="inlineStr">
        <is>
          <t>—</t>
        </is>
      </c>
      <c r="I46" s="11" t="inlineStr">
        <is>
          <t>1. Read Plan usage
2. Verify the expected result.</t>
        </is>
      </c>
      <c r="J46" s="11" t="inlineStr">
        <is>
          <t>Products 110 / 500 and Staff users 1 / 3 (fresh seed).</t>
        </is>
      </c>
      <c r="K46" s="11" t="inlineStr">
        <is>
          <t>Products 110 / 500, Staff users 1 / 3, Storage 0 GB / 5 GB, Orders this month 18 / 1,000 (after the DEF-002 fix).</t>
        </is>
      </c>
      <c r="L46" s="11" t="inlineStr">
        <is>
          <t>Pass</t>
        </is>
      </c>
      <c r="M46" s="11" t="inlineStr">
        <is>
          <t>Medium</t>
        </is>
      </c>
      <c r="N46" s="11" t="inlineStr">
        <is>
          <t>Functional</t>
        </is>
      </c>
      <c r="O46" s="11" t="inlineStr">
        <is>
          <t>Claude (Claude in Chrome)</t>
        </is>
      </c>
      <c r="P46" s="11" t="inlineStr">
        <is>
          <t>2026-10-10</t>
        </is>
      </c>
      <c r="Q46" s="11" t="inlineStr">
        <is>
          <t>DEF-002 (fixed and retested)</t>
        </is>
      </c>
      <c r="R46" s="11" t="inlineStr"/>
      <c r="S46" s="11" t="inlineStr">
        <is>
          <t>Super admin</t>
        </is>
      </c>
      <c r="T46" s="11" t="inlineStr">
        <is>
          <t>No</t>
        </is>
      </c>
      <c r="U46" s="11" t="inlineStr">
        <is>
          <t>docs/qa/regression/super-admin/SA-05-vendor-overview.md</t>
        </is>
      </c>
    </row>
    <row r="47">
      <c r="A47" s="11" t="inlineStr">
        <is>
          <t>SA-05-006</t>
        </is>
      </c>
      <c r="B47" s="11" t="inlineStr">
        <is>
          <t>Super Admin</t>
        </is>
      </c>
      <c r="C47" s="11" t="inlineStr">
        <is>
          <t>SA-05 · Vendor overview and store status</t>
        </is>
      </c>
      <c r="D47" s="11" t="inlineStr">
        <is>
          <t>Store health</t>
        </is>
      </c>
      <c r="E47" s="11" t="inlineStr">
        <is>
          <t>Health card</t>
        </is>
      </c>
      <c r="F47" s="11" t="inlineStr">
        <is>
          <t>Store health summarises the store's state.</t>
        </is>
      </c>
      <c r="G47" s="11" t="inlineStr">
        <is>
          <t>On the overview</t>
        </is>
      </c>
      <c r="H47" s="11" t="inlineStr">
        <is>
          <t>—</t>
        </is>
      </c>
      <c r="I47" s="11" t="inlineStr">
        <is>
          <t>1. Read Store health
2. Verify the expected result.</t>
        </is>
      </c>
      <c r="J47" s="11" t="inlineStr">
        <is>
          <t>Last order, Razorpay state (and webhook), any failing connector, the primary domain and the storefront design (vendors/home-orbit).</t>
        </is>
      </c>
      <c r="K47" s="11" t="inlineStr">
        <is>
          <t>Store health: last order Today 00:13, Razorpay Not connected, primary domain home-orbit.localhost, design vendors/home-orbit.</t>
        </is>
      </c>
      <c r="L47" s="11" t="inlineStr">
        <is>
          <t>Pass</t>
        </is>
      </c>
      <c r="M47" s="11" t="inlineStr">
        <is>
          <t>Medium</t>
        </is>
      </c>
      <c r="N47" s="11" t="inlineStr">
        <is>
          <t>Functional</t>
        </is>
      </c>
      <c r="O47" s="11" t="inlineStr">
        <is>
          <t>Claude (Claude in Chrome)</t>
        </is>
      </c>
      <c r="P47" s="11" t="inlineStr">
        <is>
          <t>2026-10-10</t>
        </is>
      </c>
      <c r="Q47" s="11" t="inlineStr"/>
      <c r="R47" s="11" t="inlineStr"/>
      <c r="S47" s="11" t="inlineStr">
        <is>
          <t>Super admin</t>
        </is>
      </c>
      <c r="T47" s="11" t="inlineStr">
        <is>
          <t>No</t>
        </is>
      </c>
      <c r="U47" s="11" t="inlineStr">
        <is>
          <t>docs/qa/regression/super-admin/SA-05-vendor-overview.md</t>
        </is>
      </c>
    </row>
    <row r="48">
      <c r="A48" s="11" t="inlineStr">
        <is>
          <t>SA-05-007</t>
        </is>
      </c>
      <c r="B48" s="11" t="inlineStr">
        <is>
          <t>Super Admin</t>
        </is>
      </c>
      <c r="C48" s="11" t="inlineStr">
        <is>
          <t>SA-05 · Vendor overview and store status</t>
        </is>
      </c>
      <c r="D48" s="11" t="inlineStr">
        <is>
          <t>Notes</t>
        </is>
      </c>
      <c r="E48" s="11" t="inlineStr">
        <is>
          <t>Internal notes and recent changes</t>
        </is>
      </c>
      <c r="F48" s="11" t="inlineStr">
        <is>
          <t>An internal note saves and the change is recorded.</t>
        </is>
      </c>
      <c r="G48" s="11" t="inlineStr">
        <is>
          <t>On the overview</t>
        </is>
      </c>
      <c r="H48" s="11" t="inlineStr">
        <is>
          <t>Note "QA check 1"</t>
        </is>
      </c>
      <c r="I48" s="11" t="inlineStr">
        <is>
          <t>1. Add a line under Internal notes
2. Save
3. Reload
4. Read Recent changes
5. Verify the expected result.</t>
        </is>
      </c>
      <c r="J48" s="11" t="inlineStr">
        <is>
          <t>The note is still there after reload; Recent changes lists the edit with who and when.</t>
        </is>
      </c>
      <c r="K48" s="11" t="inlineStr"/>
      <c r="L48" s="11" t="inlineStr">
        <is>
          <t>Not Run</t>
        </is>
      </c>
      <c r="M48" s="11" t="inlineStr">
        <is>
          <t>High</t>
        </is>
      </c>
      <c r="N48" s="11" t="inlineStr">
        <is>
          <t>Data persistence</t>
        </is>
      </c>
      <c r="O48" s="11" t="inlineStr"/>
      <c r="P48" s="11" t="inlineStr"/>
      <c r="Q48" s="11" t="inlineStr"/>
      <c r="R48" s="11" t="inlineStr"/>
      <c r="S48" s="11" t="inlineStr">
        <is>
          <t>Super admin</t>
        </is>
      </c>
      <c r="T48" s="11" t="inlineStr">
        <is>
          <t>No</t>
        </is>
      </c>
      <c r="U48" s="11" t="inlineStr">
        <is>
          <t>docs/qa/regression/super-admin/SA-05-vendor-overview.md</t>
        </is>
      </c>
    </row>
    <row r="49">
      <c r="A49" s="11" t="inlineStr">
        <is>
          <t>SA-05-008</t>
        </is>
      </c>
      <c r="B49" s="11" t="inlineStr">
        <is>
          <t>Super Admin</t>
        </is>
      </c>
      <c r="C49" s="11" t="inlineStr">
        <is>
          <t>SA-05 · Vendor overview and store status</t>
        </is>
      </c>
      <c r="D49" s="11" t="inlineStr">
        <is>
          <t>Status</t>
        </is>
      </c>
      <c r="E49" s="11" t="inlineStr">
        <is>
          <t>Go live</t>
        </is>
      </c>
      <c r="F49" s="11" t="inlineStr">
        <is>
          <t>Go live makes the store active and indexable.</t>
        </is>
      </c>
      <c r="G49" s="11" t="inlineStr">
        <is>
          <t>Home Orbit as a draft</t>
        </is>
      </c>
      <c r="H49" s="11" t="inlineStr">
        <is>
          <t>—</t>
        </is>
      </c>
      <c r="I49" s="11" t="inlineStr">
        <is>
          <t>1. Press Go live and confirm
2. Reload http://home-orbit.localhost:3000
3. Open http://home-orbit.localhost:3000/robots.txt
4. Verify the expected result.</t>
        </is>
      </c>
      <c r="J49" s="11" t="inlineStr">
        <is>
          <t>Status Active; the preview bar is gone; robots.txt allows search engines and names the sitemap; Live stores on the dashboard goes up by 1.</t>
        </is>
      </c>
      <c r="K49" s="11" t="inlineStr"/>
      <c r="L49" s="11" t="inlineStr">
        <is>
          <t>Not Run</t>
        </is>
      </c>
      <c r="M49" s="11" t="inlineStr">
        <is>
          <t>Critical</t>
        </is>
      </c>
      <c r="N49" s="11" t="inlineStr">
        <is>
          <t>Functional</t>
        </is>
      </c>
      <c r="O49" s="11" t="inlineStr"/>
      <c r="P49" s="11" t="inlineStr"/>
      <c r="Q49" s="11" t="inlineStr"/>
      <c r="R49" s="11" t="inlineStr">
        <is>
          <t>Also: Integration</t>
        </is>
      </c>
      <c r="S49" s="11" t="inlineStr">
        <is>
          <t>Super admin</t>
        </is>
      </c>
      <c r="T49" s="11" t="inlineStr">
        <is>
          <t>Yes</t>
        </is>
      </c>
      <c r="U49" s="11" t="inlineStr">
        <is>
          <t>docs/qa/regression/super-admin/SA-05-vendor-overview.md</t>
        </is>
      </c>
    </row>
    <row r="50">
      <c r="A50" s="11" t="inlineStr">
        <is>
          <t>SA-05-009</t>
        </is>
      </c>
      <c r="B50" s="11" t="inlineStr">
        <is>
          <t>Super Admin</t>
        </is>
      </c>
      <c r="C50" s="11" t="inlineStr">
        <is>
          <t>SA-05 · Vendor overview and store status</t>
        </is>
      </c>
      <c r="D50" s="11" t="inlineStr">
        <is>
          <t>Status</t>
        </is>
      </c>
      <c r="E50" s="11" t="inlineStr">
        <is>
          <t>Suspend needs a reason</t>
        </is>
      </c>
      <c r="F50" s="11" t="inlineStr">
        <is>
          <t>Suspend is refused without a reason.</t>
        </is>
      </c>
      <c r="G50" s="11" t="inlineStr">
        <is>
          <t>Home Orbit active</t>
        </is>
      </c>
      <c r="H50" s="11" t="inlineStr">
        <is>
          <t>Empty reason</t>
        </is>
      </c>
      <c r="I50" s="11" t="inlineStr">
        <is>
          <t>1. Press Suspend store
2. Leave the reason empty and confirm
3. Verify the expected result.</t>
        </is>
      </c>
      <c r="J50" s="11" t="inlineStr">
        <is>
          <t>The reason is required; the store stays active.</t>
        </is>
      </c>
      <c r="K50" s="11" t="inlineStr"/>
      <c r="L50" s="11" t="inlineStr">
        <is>
          <t>Not Run</t>
        </is>
      </c>
      <c r="M50" s="11" t="inlineStr">
        <is>
          <t>High</t>
        </is>
      </c>
      <c r="N50" s="11" t="inlineStr">
        <is>
          <t>Validation</t>
        </is>
      </c>
      <c r="O50" s="11" t="inlineStr"/>
      <c r="P50" s="11" t="inlineStr"/>
      <c r="Q50" s="11" t="inlineStr"/>
      <c r="R50" s="11" t="inlineStr"/>
      <c r="S50" s="11" t="inlineStr">
        <is>
          <t>Super admin</t>
        </is>
      </c>
      <c r="T50" s="11" t="inlineStr">
        <is>
          <t>No</t>
        </is>
      </c>
      <c r="U50" s="11" t="inlineStr">
        <is>
          <t>docs/qa/regression/super-admin/SA-05-vendor-overview.md</t>
        </is>
      </c>
    </row>
    <row r="51">
      <c r="A51" s="11" t="inlineStr">
        <is>
          <t>SA-05-010</t>
        </is>
      </c>
      <c r="B51" s="11" t="inlineStr">
        <is>
          <t>Super Admin</t>
        </is>
      </c>
      <c r="C51" s="11" t="inlineStr">
        <is>
          <t>SA-05 · Vendor overview and store status</t>
        </is>
      </c>
      <c r="D51" s="11" t="inlineStr">
        <is>
          <t>Status</t>
        </is>
      </c>
      <c r="E51" s="11" t="inlineStr">
        <is>
          <t>Suspend</t>
        </is>
      </c>
      <c r="F51" s="11" t="inlineStr">
        <is>
          <t>Suspending closes the store to shoppers.</t>
        </is>
      </c>
      <c r="G51" s="11" t="inlineStr">
        <is>
          <t>Home Orbit active</t>
        </is>
      </c>
      <c r="H51" s="11" t="inlineStr">
        <is>
          <t>Reason "QA suspend test"</t>
        </is>
      </c>
      <c r="I51" s="11" t="inlineStr">
        <is>
          <t>1. Press Suspend store
2. Type the reason and confirm
3. Reload http://home-orbit.localhost:3000 in a private window
4. Verify the expected result.</t>
        </is>
      </c>
      <c r="J51" s="11" t="inlineStr">
        <is>
          <t>"Store unavailable" on the store; /robots.txt says Disallow: /; the overview shows Suspended.</t>
        </is>
      </c>
      <c r="K51" s="11" t="inlineStr"/>
      <c r="L51" s="11" t="inlineStr">
        <is>
          <t>Not Run</t>
        </is>
      </c>
      <c r="M51" s="11" t="inlineStr">
        <is>
          <t>Critical</t>
        </is>
      </c>
      <c r="N51" s="11" t="inlineStr">
        <is>
          <t>Functional</t>
        </is>
      </c>
      <c r="O51" s="11" t="inlineStr"/>
      <c r="P51" s="11" t="inlineStr"/>
      <c r="Q51" s="11" t="inlineStr"/>
      <c r="R51" s="11" t="inlineStr">
        <is>
          <t>Also: Integration</t>
        </is>
      </c>
      <c r="S51" s="11" t="inlineStr">
        <is>
          <t>Super admin</t>
        </is>
      </c>
      <c r="T51" s="11" t="inlineStr">
        <is>
          <t>No</t>
        </is>
      </c>
      <c r="U51" s="11" t="inlineStr">
        <is>
          <t>docs/qa/regression/super-admin/SA-05-vendor-overview.md</t>
        </is>
      </c>
    </row>
    <row r="52">
      <c r="A52" s="11" t="inlineStr">
        <is>
          <t>SA-05-011</t>
        </is>
      </c>
      <c r="B52" s="11" t="inlineStr">
        <is>
          <t>Super Admin</t>
        </is>
      </c>
      <c r="C52" s="11" t="inlineStr">
        <is>
          <t>SA-05 · Vendor overview and store status</t>
        </is>
      </c>
      <c r="D52" s="11" t="inlineStr">
        <is>
          <t>Status</t>
        </is>
      </c>
      <c r="E52" s="11" t="inlineStr">
        <is>
          <t>Resume</t>
        </is>
      </c>
      <c r="F52" s="11" t="inlineStr">
        <is>
          <t>Resume reopens a suspended store at once.</t>
        </is>
      </c>
      <c r="G52" s="11" t="inlineStr">
        <is>
          <t>Home Orbit suspended</t>
        </is>
      </c>
      <c r="H52" s="11" t="inlineStr">
        <is>
          <t>—</t>
        </is>
      </c>
      <c r="I52" s="11" t="inlineStr">
        <is>
          <t>1. Press Resume store
2. Reload http://home-orbit.localhost:3000
3. Verify the expected result.</t>
        </is>
      </c>
      <c r="J52" s="11" t="inlineStr">
        <is>
          <t>The store is back immediately; Recent changes lists Go live, Suspend and Resume with reasons.</t>
        </is>
      </c>
      <c r="K52" s="11" t="inlineStr"/>
      <c r="L52" s="11" t="inlineStr">
        <is>
          <t>Not Run</t>
        </is>
      </c>
      <c r="M52" s="11" t="inlineStr">
        <is>
          <t>Critical</t>
        </is>
      </c>
      <c r="N52" s="11" t="inlineStr">
        <is>
          <t>Functional</t>
        </is>
      </c>
      <c r="O52" s="11" t="inlineStr"/>
      <c r="P52" s="11" t="inlineStr"/>
      <c r="Q52" s="11" t="inlineStr"/>
      <c r="R52" s="11" t="inlineStr"/>
      <c r="S52" s="11" t="inlineStr">
        <is>
          <t>Super admin</t>
        </is>
      </c>
      <c r="T52" s="11" t="inlineStr">
        <is>
          <t>No</t>
        </is>
      </c>
      <c r="U52" s="11" t="inlineStr">
        <is>
          <t>docs/qa/regression/super-admin/SA-05-vendor-overview.md</t>
        </is>
      </c>
    </row>
    <row r="53">
      <c r="A53" s="11" t="inlineStr">
        <is>
          <t>SA-05-012</t>
        </is>
      </c>
      <c r="B53" s="11" t="inlineStr">
        <is>
          <t>Super Admin</t>
        </is>
      </c>
      <c r="C53" s="11" t="inlineStr">
        <is>
          <t>SA-05 · Vendor overview and store status</t>
        </is>
      </c>
      <c r="D53" s="11" t="inlineStr">
        <is>
          <t>Status</t>
        </is>
      </c>
      <c r="E53" s="11" t="inlineStr">
        <is>
          <t>Archive</t>
        </is>
      </c>
      <c r="F53" s="11" t="inlineStr">
        <is>
          <t>Archiving hides the store and keeps its data.</t>
        </is>
      </c>
      <c r="G53" s="11" t="inlineStr">
        <is>
          <t>A throw-away store (Test Locks from SA-04)</t>
        </is>
      </c>
      <c r="H53" s="11" t="inlineStr">
        <is>
          <t>Reason "QA archive"</t>
        </is>
      </c>
      <c r="I53" s="11" t="inlineStr">
        <is>
          <t>1. Archive Test Locks with a reason
2. Open http://test-locks.localhost:3000
3. Look for it under All vendors → Archived
4. Verify the expected result.</t>
        </is>
      </c>
      <c r="J53" s="11" t="inlineStr">
        <is>
          <t>The store address shows not found; the vendor is listed as Archived with its data.</t>
        </is>
      </c>
      <c r="K53" s="11" t="inlineStr"/>
      <c r="L53" s="11" t="inlineStr">
        <is>
          <t>Not Run</t>
        </is>
      </c>
      <c r="M53" s="11" t="inlineStr">
        <is>
          <t>Medium</t>
        </is>
      </c>
      <c r="N53" s="11" t="inlineStr">
        <is>
          <t>Functional</t>
        </is>
      </c>
      <c r="O53" s="11" t="inlineStr"/>
      <c r="P53" s="11" t="inlineStr"/>
      <c r="Q53" s="11" t="inlineStr"/>
      <c r="R53" s="11" t="inlineStr">
        <is>
          <t>Do not archive Home Orbit.</t>
        </is>
      </c>
      <c r="S53" s="11" t="inlineStr">
        <is>
          <t>Super admin</t>
        </is>
      </c>
      <c r="T53" s="11" t="inlineStr">
        <is>
          <t>No</t>
        </is>
      </c>
      <c r="U53" s="11" t="inlineStr">
        <is>
          <t>docs/qa/regression/super-admin/SA-05-vendor-overview.md</t>
        </is>
      </c>
    </row>
    <row r="54">
      <c r="A54" s="11" t="inlineStr">
        <is>
          <t>SA-06-001</t>
        </is>
      </c>
      <c r="B54" s="11" t="inlineStr">
        <is>
          <t>Super Admin</t>
        </is>
      </c>
      <c r="C54" s="11" t="inlineStr">
        <is>
          <t>SA-06 · Store sessions (Manage store, View as support)</t>
        </is>
      </c>
      <c r="D54" s="11" t="inlineStr">
        <is>
          <t>Isolation</t>
        </is>
      </c>
      <c r="E54" s="11" t="inlineStr">
        <is>
          <t>Store screens need a session</t>
        </is>
      </c>
      <c r="F54" s="11" t="inlineStr">
        <is>
          <t>Without a store session the platform panel cannot open store records.</t>
        </is>
      </c>
      <c r="G54" s="11" t="inlineStr">
        <is>
          <t>Super admin, no store session</t>
        </is>
      </c>
      <c r="H54" s="11" t="inlineStr">
        <is>
          <t>Address http://localhost:3000/admin/collections/pages</t>
        </is>
      </c>
      <c r="I54" s="11" t="inlineStr">
        <is>
          <t>1. Type the address
2. Verify the expected result.</t>
        </is>
      </c>
      <c r="J54" s="11" t="inlineStr">
        <is>
          <t>"Nothing found" (or equivalent); no store pages are listed.</t>
        </is>
      </c>
      <c r="K54" s="11" t="inlineStr">
        <is>
          <t>/admin/collections/pages without a store session: "Nothing found … Back to Dashboard".</t>
        </is>
      </c>
      <c r="L54" s="11" t="inlineStr">
        <is>
          <t>Pass</t>
        </is>
      </c>
      <c r="M54" s="11" t="inlineStr">
        <is>
          <t>Critical</t>
        </is>
      </c>
      <c r="N54" s="11" t="inlineStr">
        <is>
          <t>Security/Permissions</t>
        </is>
      </c>
      <c r="O54" s="11" t="inlineStr">
        <is>
          <t>Claude (Claude in Chrome)</t>
        </is>
      </c>
      <c r="P54" s="11" t="inlineStr">
        <is>
          <t>2026-10-10</t>
        </is>
      </c>
      <c r="Q54" s="11" t="inlineStr"/>
      <c r="R54" s="11" t="inlineStr"/>
      <c r="S54" s="11" t="inlineStr">
        <is>
          <t>Super admin</t>
        </is>
      </c>
      <c r="T54" s="11" t="inlineStr">
        <is>
          <t>Yes</t>
        </is>
      </c>
      <c r="U54" s="11" t="inlineStr">
        <is>
          <t>docs/qa/regression/super-admin/SA-06-store-sessions.md</t>
        </is>
      </c>
    </row>
    <row r="55">
      <c r="A55" s="11" t="inlineStr">
        <is>
          <t>SA-06-002</t>
        </is>
      </c>
      <c r="B55" s="11" t="inlineStr">
        <is>
          <t>Super Admin</t>
        </is>
      </c>
      <c r="C55" s="11" t="inlineStr">
        <is>
          <t>SA-06 · Store sessions (Manage store, View as support)</t>
        </is>
      </c>
      <c r="D55" s="11" t="inlineStr">
        <is>
          <t>Manage store</t>
        </is>
      </c>
      <c r="E55" s="11" t="inlineStr">
        <is>
          <t>Reason required</t>
        </is>
      </c>
      <c r="F55" s="11" t="inlineStr">
        <is>
          <t>Manage store needs a real reason.</t>
        </is>
      </c>
      <c r="G55" s="11" t="inlineStr">
        <is>
          <t>On Home Orbit overview</t>
        </is>
      </c>
      <c r="H55" s="11" t="inlineStr">
        <is>
          <t>Reason empty, then "abc"</t>
        </is>
      </c>
      <c r="I55" s="11" t="inlineStr">
        <is>
          <t>1. Press Manage store
2. Try to open with an empty reason, then with "abc"
3. Verify the expected result.</t>
        </is>
      </c>
      <c r="J55" s="11" t="inlineStr">
        <is>
          <t>Both are refused; the box explains the 2-hour session.</t>
        </is>
      </c>
      <c r="K55" s="11" t="inlineStr"/>
      <c r="L55" s="11" t="inlineStr">
        <is>
          <t>Not Run</t>
        </is>
      </c>
      <c r="M55" s="11" t="inlineStr">
        <is>
          <t>High</t>
        </is>
      </c>
      <c r="N55" s="11" t="inlineStr">
        <is>
          <t>Validation</t>
        </is>
      </c>
      <c r="O55" s="11" t="inlineStr"/>
      <c r="P55" s="11" t="inlineStr"/>
      <c r="Q55" s="11" t="inlineStr"/>
      <c r="R55" s="11" t="inlineStr"/>
      <c r="S55" s="11" t="inlineStr">
        <is>
          <t>Super admin</t>
        </is>
      </c>
      <c r="T55" s="11" t="inlineStr">
        <is>
          <t>No</t>
        </is>
      </c>
      <c r="U55" s="11" t="inlineStr">
        <is>
          <t>docs/qa/regression/super-admin/SA-06-store-sessions.md</t>
        </is>
      </c>
    </row>
    <row r="56">
      <c r="A56" s="11" t="inlineStr">
        <is>
          <t>SA-06-003</t>
        </is>
      </c>
      <c r="B56" s="11" t="inlineStr">
        <is>
          <t>Super Admin</t>
        </is>
      </c>
      <c r="C56" s="11" t="inlineStr">
        <is>
          <t>SA-06 · Store sessions (Manage store, View as support)</t>
        </is>
      </c>
      <c r="D56" s="11" t="inlineStr">
        <is>
          <t>Manage store</t>
        </is>
      </c>
      <c r="E56" s="11" t="inlineStr">
        <is>
          <t>Open the store CMS</t>
        </is>
      </c>
      <c r="F56" s="11" t="inlineStr">
        <is>
          <t>A session opens the vendor's CMS with a banner.</t>
        </is>
      </c>
      <c r="G56" s="11" t="inlineStr">
        <is>
          <t>On Home Orbit overview</t>
        </is>
      </c>
      <c r="H56" s="11" t="inlineStr">
        <is>
          <t>Reason "Vendor asked us to set up the Diwali page"</t>
        </is>
      </c>
      <c r="I56" s="11" t="inlineStr">
        <is>
          <t>1. Press Manage store
2. Type the reason and open
3. Verify the expected result.</t>
        </is>
      </c>
      <c r="J56" s="11" t="inlineStr">
        <is>
          <t>A bar on every page: "You are managing Home Orbit as platform admin" with the reason and end time; the menu is Home Orbit's (Catalog, Sales, Marketing, Content, Store, Insights); platform sections are gone.</t>
        </is>
      </c>
      <c r="K56" s="11" t="inlineStr">
        <is>
          <t>Bar "You are managing Home Orbit as platform admin (Platform Admin)" with the reason and "ends 13:29"; menu became Home Orbit's (Catalog, Sales, Marketing, Content, Store, Insights).</t>
        </is>
      </c>
      <c r="L56" s="11" t="inlineStr">
        <is>
          <t>Pass</t>
        </is>
      </c>
      <c r="M56" s="11" t="inlineStr">
        <is>
          <t>Critical</t>
        </is>
      </c>
      <c r="N56" s="11" t="inlineStr">
        <is>
          <t>Functional</t>
        </is>
      </c>
      <c r="O56" s="11" t="inlineStr">
        <is>
          <t>Claude (Claude in Chrome)</t>
        </is>
      </c>
      <c r="P56" s="11" t="inlineStr">
        <is>
          <t>2026-10-10</t>
        </is>
      </c>
      <c r="Q56" s="11" t="inlineStr"/>
      <c r="R56" s="11" t="inlineStr">
        <is>
          <t>The extension's type action did not reach the reason box; it was filled with form input.</t>
        </is>
      </c>
      <c r="S56" s="11" t="inlineStr">
        <is>
          <t>Super admin</t>
        </is>
      </c>
      <c r="T56" s="11" t="inlineStr">
        <is>
          <t>Yes</t>
        </is>
      </c>
      <c r="U56" s="11" t="inlineStr">
        <is>
          <t>docs/qa/regression/super-admin/SA-06-store-sessions.md</t>
        </is>
      </c>
    </row>
    <row r="57">
      <c r="A57" s="11" t="inlineStr">
        <is>
          <t>SA-06-004</t>
        </is>
      </c>
      <c r="B57" s="11" t="inlineStr">
        <is>
          <t>Super Admin</t>
        </is>
      </c>
      <c r="C57" s="11" t="inlineStr">
        <is>
          <t>SA-06 · Store sessions (Manage store, View as support)</t>
        </is>
      </c>
      <c r="D57" s="11" t="inlineStr">
        <is>
          <t>Manage store</t>
        </is>
      </c>
      <c r="E57" s="11" t="inlineStr">
        <is>
          <t>Platform screens hidden in session</t>
        </is>
      </c>
      <c r="F57" s="11" t="inlineStr">
        <is>
          <t>Platform collections are not reachable during a store session.</t>
        </is>
      </c>
      <c r="G57" s="11" t="inlineStr">
        <is>
          <t>In a Manage store session</t>
        </is>
      </c>
      <c r="H57" s="11" t="inlineStr">
        <is>
          <t>Address http://localhost:3000/admin/collections/plans</t>
        </is>
      </c>
      <c r="I57" s="11" t="inlineStr">
        <is>
          <t>1. Type the address
2. Verify the expected result.</t>
        </is>
      </c>
      <c r="J57" s="11" t="inlineStr">
        <is>
          <t>"Nothing found"; plans are not shown.</t>
        </is>
      </c>
      <c r="K57" s="11" t="inlineStr"/>
      <c r="L57" s="11" t="inlineStr">
        <is>
          <t>Not Run</t>
        </is>
      </c>
      <c r="M57" s="11" t="inlineStr">
        <is>
          <t>High</t>
        </is>
      </c>
      <c r="N57" s="11" t="inlineStr">
        <is>
          <t>Security/Permissions</t>
        </is>
      </c>
      <c r="O57" s="11" t="inlineStr"/>
      <c r="P57" s="11" t="inlineStr"/>
      <c r="Q57" s="11" t="inlineStr"/>
      <c r="R57" s="11" t="inlineStr"/>
      <c r="S57" s="11" t="inlineStr">
        <is>
          <t>Super admin</t>
        </is>
      </c>
      <c r="T57" s="11" t="inlineStr">
        <is>
          <t>No</t>
        </is>
      </c>
      <c r="U57" s="11" t="inlineStr">
        <is>
          <t>docs/qa/regression/super-admin/SA-06-store-sessions.md</t>
        </is>
      </c>
    </row>
    <row r="58">
      <c r="A58" s="11" t="inlineStr">
        <is>
          <t>SA-06-005</t>
        </is>
      </c>
      <c r="B58" s="11" t="inlineStr">
        <is>
          <t>Super Admin</t>
        </is>
      </c>
      <c r="C58" s="11" t="inlineStr">
        <is>
          <t>SA-06 · Store sessions (Manage store, View as support)</t>
        </is>
      </c>
      <c r="D58" s="11" t="inlineStr">
        <is>
          <t>Audit</t>
        </is>
      </c>
      <c r="E58" s="11" t="inlineStr">
        <is>
          <t>Changes are attributed</t>
        </is>
      </c>
      <c r="F58" s="11" t="inlineStr">
        <is>
          <t>Edits in a session are recorded with the reason.</t>
        </is>
      </c>
      <c r="G58" s="11" t="inlineStr">
        <is>
          <t>In a Manage store session</t>
        </is>
      </c>
      <c r="H58" s="11" t="inlineStr">
        <is>
          <t>Change a word on About us; Save Draft</t>
        </is>
      </c>
      <c r="I58" s="11" t="inlineStr">
        <is>
          <t>1. Edit the About us page and save a draft
2. End session
3. Open Home Orbit overview → Recent changes
4. Verify the expected result.</t>
        </is>
      </c>
      <c r="J58" s="11" t="inlineStr">
        <is>
          <t>Pages list shows "by Platform Admin (platform team)"; Recent changes lists the session and the edit with the reason.</t>
        </is>
      </c>
      <c r="K58" s="11" t="inlineStr"/>
      <c r="L58" s="11" t="inlineStr">
        <is>
          <t>Not Run</t>
        </is>
      </c>
      <c r="M58" s="11" t="inlineStr">
        <is>
          <t>High</t>
        </is>
      </c>
      <c r="N58" s="11" t="inlineStr">
        <is>
          <t>Integration</t>
        </is>
      </c>
      <c r="O58" s="11" t="inlineStr"/>
      <c r="P58" s="11" t="inlineStr"/>
      <c r="Q58" s="11" t="inlineStr"/>
      <c r="R58" s="11" t="inlineStr">
        <is>
          <t>Also: Security/Permissions</t>
        </is>
      </c>
      <c r="S58" s="11" t="inlineStr">
        <is>
          <t>Super admin</t>
        </is>
      </c>
      <c r="T58" s="11" t="inlineStr">
        <is>
          <t>No</t>
        </is>
      </c>
      <c r="U58" s="11" t="inlineStr">
        <is>
          <t>docs/qa/regression/super-admin/SA-06-store-sessions.md</t>
        </is>
      </c>
    </row>
    <row r="59">
      <c r="A59" s="11" t="inlineStr">
        <is>
          <t>SA-06-006</t>
        </is>
      </c>
      <c r="B59" s="11" t="inlineStr">
        <is>
          <t>Super Admin</t>
        </is>
      </c>
      <c r="C59" s="11" t="inlineStr">
        <is>
          <t>SA-06 · Store sessions (Manage store, View as support)</t>
        </is>
      </c>
      <c r="D59" s="11" t="inlineStr">
        <is>
          <t>End</t>
        </is>
      </c>
      <c r="E59" s="11" t="inlineStr">
        <is>
          <t>End session</t>
        </is>
      </c>
      <c r="F59" s="11" t="inlineStr">
        <is>
          <t>End session returns to the platform panel.</t>
        </is>
      </c>
      <c r="G59" s="11" t="inlineStr">
        <is>
          <t>In a Manage store session</t>
        </is>
      </c>
      <c r="H59" s="11" t="inlineStr">
        <is>
          <t>—</t>
        </is>
      </c>
      <c r="I59" s="11" t="inlineStr">
        <is>
          <t>1. Press End session in the bar
2. Verify the expected result.</t>
        </is>
      </c>
      <c r="J59" s="11" t="inlineStr">
        <is>
          <t>The platform dashboard shows and the store menu is gone.</t>
        </is>
      </c>
      <c r="K59" s="11" t="inlineStr">
        <is>
          <t>End session returned to the platform dashboard with the platform menu.</t>
        </is>
      </c>
      <c r="L59" s="11" t="inlineStr">
        <is>
          <t>Pass</t>
        </is>
      </c>
      <c r="M59" s="11" t="inlineStr">
        <is>
          <t>High</t>
        </is>
      </c>
      <c r="N59" s="11" t="inlineStr">
        <is>
          <t>Functional</t>
        </is>
      </c>
      <c r="O59" s="11" t="inlineStr">
        <is>
          <t>Claude (Claude in Chrome)</t>
        </is>
      </c>
      <c r="P59" s="11" t="inlineStr">
        <is>
          <t>2026-10-10</t>
        </is>
      </c>
      <c r="Q59" s="11" t="inlineStr"/>
      <c r="R59" s="11" t="inlineStr"/>
      <c r="S59" s="11" t="inlineStr">
        <is>
          <t>Super admin</t>
        </is>
      </c>
      <c r="T59" s="11" t="inlineStr">
        <is>
          <t>Yes</t>
        </is>
      </c>
      <c r="U59" s="11" t="inlineStr">
        <is>
          <t>docs/qa/regression/super-admin/SA-06-store-sessions.md</t>
        </is>
      </c>
    </row>
    <row r="60">
      <c r="A60" s="11" t="inlineStr">
        <is>
          <t>SA-06-007</t>
        </is>
      </c>
      <c r="B60" s="11" t="inlineStr">
        <is>
          <t>Super Admin</t>
        </is>
      </c>
      <c r="C60" s="11" t="inlineStr">
        <is>
          <t>SA-06 · Store sessions (Manage store, View as support)</t>
        </is>
      </c>
      <c r="D60" s="11" t="inlineStr">
        <is>
          <t>View as support</t>
        </is>
      </c>
      <c r="E60" s="11" t="inlineStr">
        <is>
          <t>Read-only session</t>
        </is>
      </c>
      <c r="F60" s="11" t="inlineStr">
        <is>
          <t>View as support shows the store without saving.</t>
        </is>
      </c>
      <c r="G60" s="11" t="inlineStr">
        <is>
          <t>On Home Orbit overview</t>
        </is>
      </c>
      <c r="H60" s="11" t="inlineStr">
        <is>
          <t>Reason "Support ticket 42"</t>
        </is>
      </c>
      <c r="I60" s="11" t="inlineStr">
        <is>
          <t>1. Press View as support with a reason
2. Open a product
3. Try to change and save
4. Verify the expected result.</t>
        </is>
      </c>
      <c r="J60" s="11" t="inlineStr">
        <is>
          <t>Screens open read-only; there is no Save (or saving is refused).</t>
        </is>
      </c>
      <c r="K60" s="11" t="inlineStr"/>
      <c r="L60" s="11" t="inlineStr">
        <is>
          <t>Not Run</t>
        </is>
      </c>
      <c r="M60" s="11" t="inlineStr">
        <is>
          <t>High</t>
        </is>
      </c>
      <c r="N60" s="11" t="inlineStr">
        <is>
          <t>Security/Permissions</t>
        </is>
      </c>
      <c r="O60" s="11" t="inlineStr"/>
      <c r="P60" s="11" t="inlineStr"/>
      <c r="Q60" s="11" t="inlineStr"/>
      <c r="R60" s="11" t="inlineStr"/>
      <c r="S60" s="11" t="inlineStr">
        <is>
          <t>Super admin</t>
        </is>
      </c>
      <c r="T60" s="11" t="inlineStr">
        <is>
          <t>No</t>
        </is>
      </c>
      <c r="U60" s="11" t="inlineStr">
        <is>
          <t>docs/qa/regression/super-admin/SA-06-store-sessions.md</t>
        </is>
      </c>
    </row>
    <row r="61">
      <c r="A61" s="11" t="inlineStr">
        <is>
          <t>SA-06-008</t>
        </is>
      </c>
      <c r="B61" s="11" t="inlineStr">
        <is>
          <t>Super Admin</t>
        </is>
      </c>
      <c r="C61" s="11" t="inlineStr">
        <is>
          <t>SA-06 · Store sessions (Manage store, View as support)</t>
        </is>
      </c>
      <c r="D61" s="11" t="inlineStr">
        <is>
          <t>Timeout</t>
        </is>
      </c>
      <c r="E61" s="11" t="inlineStr">
        <is>
          <t>Session ends by itself</t>
        </is>
      </c>
      <c r="F61" s="11" t="inlineStr">
        <is>
          <t>A store session ends at its end time.</t>
        </is>
      </c>
      <c r="G61" s="11" t="inlineStr">
        <is>
          <t>A Manage store session</t>
        </is>
      </c>
      <c r="H61" s="11" t="inlineStr">
        <is>
          <t>Wait past the end time (2 hours) or use a test clock</t>
        </is>
      </c>
      <c r="I61" s="11" t="inlineStr">
        <is>
          <t>1. Leave the session open past the end time
2. Open any store screen
3. Verify the expected result.</t>
        </is>
      </c>
      <c r="J61" s="11" t="inlineStr">
        <is>
          <t>The session has ended and you are back in the platform panel.</t>
        </is>
      </c>
      <c r="K61" s="11" t="inlineStr"/>
      <c r="L61" s="11" t="inlineStr">
        <is>
          <t>Not Run</t>
        </is>
      </c>
      <c r="M61" s="11" t="inlineStr">
        <is>
          <t>Low</t>
        </is>
      </c>
      <c r="N61" s="11" t="inlineStr">
        <is>
          <t>Security/Permissions</t>
        </is>
      </c>
      <c r="O61" s="11" t="inlineStr"/>
      <c r="P61" s="11" t="inlineStr"/>
      <c r="Q61" s="11" t="inlineStr"/>
      <c r="R61" s="11" t="inlineStr">
        <is>
          <t>Long wait; run when convenient.</t>
        </is>
      </c>
      <c r="S61" s="11" t="inlineStr">
        <is>
          <t>Super admin</t>
        </is>
      </c>
      <c r="T61" s="11" t="inlineStr">
        <is>
          <t>No</t>
        </is>
      </c>
      <c r="U61" s="11" t="inlineStr">
        <is>
          <t>docs/qa/regression/super-admin/SA-06-store-sessions.md</t>
        </is>
      </c>
    </row>
    <row r="62">
      <c r="A62" s="11" t="inlineStr">
        <is>
          <t>SA-07-001</t>
        </is>
      </c>
      <c r="B62" s="11" t="inlineStr">
        <is>
          <t>Super Admin</t>
        </is>
      </c>
      <c r="C62" s="11" t="inlineStr">
        <is>
          <t>SA-07 · Vendor features</t>
        </is>
      </c>
      <c r="D62" s="11" t="inlineStr">
        <is>
          <t>Features</t>
        </is>
      </c>
      <c r="E62" s="11" t="inlineStr">
        <is>
          <t>Switches and locks</t>
        </is>
      </c>
      <c r="F62" s="11" t="inlineStr">
        <is>
          <t>Each feature has a switch; ones outside the plan or Phase 2 are locked.</t>
        </is>
      </c>
      <c r="G62" s="11" t="inlineStr">
        <is>
          <t>Home Orbit on Starter</t>
        </is>
      </c>
      <c r="H62" s="11" t="inlineStr">
        <is>
          <t>—</t>
        </is>
      </c>
      <c r="I62" s="11" t="inlineStr">
        <is>
          <t>1. Open Home Orbit → Features
2. Verify the expected result.</t>
        </is>
      </c>
      <c r="J62" s="11" t="inlineStr">
        <is>
          <t>A row per feature with a switch; rows outside Starter and Phase 2 rows are locked with the reason.</t>
        </is>
      </c>
      <c r="K62" s="11" t="inlineStr">
        <is>
          <t>Features tab: Starter plan, preset applied, Always on list, MVP and Growth tables with In plan and On columns.</t>
        </is>
      </c>
      <c r="L62" s="11" t="inlineStr">
        <is>
          <t>Pass</t>
        </is>
      </c>
      <c r="M62" s="11" t="inlineStr">
        <is>
          <t>High</t>
        </is>
      </c>
      <c r="N62" s="11" t="inlineStr">
        <is>
          <t>UI/UX</t>
        </is>
      </c>
      <c r="O62" s="11" t="inlineStr">
        <is>
          <t>Claude (Claude in Chrome)</t>
        </is>
      </c>
      <c r="P62" s="11" t="inlineStr">
        <is>
          <t>2026-10-10</t>
        </is>
      </c>
      <c r="Q62" s="11" t="inlineStr"/>
      <c r="R62" s="11" t="inlineStr"/>
      <c r="S62" s="11" t="inlineStr">
        <is>
          <t>Super admin</t>
        </is>
      </c>
      <c r="T62" s="11" t="inlineStr">
        <is>
          <t>Yes</t>
        </is>
      </c>
      <c r="U62" s="11" t="inlineStr">
        <is>
          <t>docs/qa/regression/super-admin/SA-07-vendor-features.md</t>
        </is>
      </c>
    </row>
    <row r="63">
      <c r="A63" s="11" t="inlineStr">
        <is>
          <t>SA-07-002</t>
        </is>
      </c>
      <c r="B63" s="11" t="inlineStr">
        <is>
          <t>Super Admin</t>
        </is>
      </c>
      <c r="C63" s="11" t="inlineStr">
        <is>
          <t>SA-07 · Vendor features</t>
        </is>
      </c>
      <c r="D63" s="11" t="inlineStr">
        <is>
          <t>Features</t>
        </is>
      </c>
      <c r="E63" s="11" t="inlineStr">
        <is>
          <t>Switch off reaches the store</t>
        </is>
      </c>
      <c r="F63" s="11" t="inlineStr">
        <is>
          <t>Switching a feature off removes it from the store at once.</t>
        </is>
      </c>
      <c r="G63" s="11" t="inlineStr">
        <is>
          <t>Enquiries inbox on</t>
        </is>
      </c>
      <c r="H63" s="11" t="inlineStr">
        <is>
          <t>Feature Enquiries inbox</t>
        </is>
      </c>
      <c r="I63" s="11" t="inlineStr">
        <is>
          <t>1. Switch Enquiries inbox off
2. Read the message
3. Open http://home-orbit.localhost:3000/products/feather-stainless-steel-pull-handle-hoph-504
4. Verify the expected result.</t>
        </is>
      </c>
      <c r="J63" s="11" t="inlineStr">
        <is>
          <t>"Saved. The live store has the change now." The product page has no Request a quote form.</t>
        </is>
      </c>
      <c r="K63" s="11" t="inlineStr"/>
      <c r="L63" s="11" t="inlineStr">
        <is>
          <t>Not Run</t>
        </is>
      </c>
      <c r="M63" s="11" t="inlineStr">
        <is>
          <t>Critical</t>
        </is>
      </c>
      <c r="N63" s="11" t="inlineStr">
        <is>
          <t>Integration</t>
        </is>
      </c>
      <c r="O63" s="11" t="inlineStr"/>
      <c r="P63" s="11" t="inlineStr"/>
      <c r="Q63" s="11" t="inlineStr"/>
      <c r="R63" s="11" t="inlineStr"/>
      <c r="S63" s="11" t="inlineStr">
        <is>
          <t>Super admin</t>
        </is>
      </c>
      <c r="T63" s="11" t="inlineStr">
        <is>
          <t>Yes</t>
        </is>
      </c>
      <c r="U63" s="11" t="inlineStr">
        <is>
          <t>docs/qa/regression/super-admin/SA-07-vendor-features.md</t>
        </is>
      </c>
    </row>
    <row r="64">
      <c r="A64" s="11" t="inlineStr">
        <is>
          <t>SA-07-003</t>
        </is>
      </c>
      <c r="B64" s="11" t="inlineStr">
        <is>
          <t>Super Admin</t>
        </is>
      </c>
      <c r="C64" s="11" t="inlineStr">
        <is>
          <t>SA-07 · Vendor features</t>
        </is>
      </c>
      <c r="D64" s="11" t="inlineStr">
        <is>
          <t>Features</t>
        </is>
      </c>
      <c r="E64" s="11" t="inlineStr">
        <is>
          <t>Switch back on</t>
        </is>
      </c>
      <c r="F64" s="11" t="inlineStr">
        <is>
          <t>Switching it on brings the feature back.</t>
        </is>
      </c>
      <c r="G64" s="11" t="inlineStr">
        <is>
          <t>Enquiries inbox off</t>
        </is>
      </c>
      <c r="H64" s="11" t="inlineStr">
        <is>
          <t>—</t>
        </is>
      </c>
      <c r="I64" s="11" t="inlineStr">
        <is>
          <t>1. Switch Enquiries inbox on
2. Reload the product page
3. Verify the expected result.</t>
        </is>
      </c>
      <c r="J64" s="11" t="inlineStr">
        <is>
          <t>The quote form is back.</t>
        </is>
      </c>
      <c r="K64" s="11" t="inlineStr"/>
      <c r="L64" s="11" t="inlineStr">
        <is>
          <t>Not Run</t>
        </is>
      </c>
      <c r="M64" s="11" t="inlineStr">
        <is>
          <t>High</t>
        </is>
      </c>
      <c r="N64" s="11" t="inlineStr">
        <is>
          <t>Integration</t>
        </is>
      </c>
      <c r="O64" s="11" t="inlineStr"/>
      <c r="P64" s="11" t="inlineStr"/>
      <c r="Q64" s="11" t="inlineStr"/>
      <c r="R64" s="11" t="inlineStr">
        <is>
          <t>Also: Data persistence</t>
        </is>
      </c>
      <c r="S64" s="11" t="inlineStr">
        <is>
          <t>Super admin</t>
        </is>
      </c>
      <c r="T64" s="11" t="inlineStr">
        <is>
          <t>No</t>
        </is>
      </c>
      <c r="U64" s="11" t="inlineStr">
        <is>
          <t>docs/qa/regression/super-admin/SA-07-vendor-features.md</t>
        </is>
      </c>
    </row>
    <row r="65">
      <c r="A65" s="11" t="inlineStr">
        <is>
          <t>SA-07-004</t>
        </is>
      </c>
      <c r="B65" s="11" t="inlineStr">
        <is>
          <t>Super Admin</t>
        </is>
      </c>
      <c r="C65" s="11" t="inlineStr">
        <is>
          <t>SA-07 · Vendor features</t>
        </is>
      </c>
      <c r="D65" s="11" t="inlineStr">
        <is>
          <t>Features</t>
        </is>
      </c>
      <c r="E65" s="11" t="inlineStr">
        <is>
          <t>Server check</t>
        </is>
      </c>
      <c r="F65" s="11" t="inlineStr">
        <is>
          <t>A switched-off feature is refused on the server, not only hidden.</t>
        </is>
      </c>
      <c r="G65" s="11" t="inlineStr">
        <is>
          <t>Enquiries off</t>
        </is>
      </c>
      <c r="H65" s="11" t="inlineStr">
        <is>
          <t>Send an enquiry from an open page that still shows the old form</t>
        </is>
      </c>
      <c r="I65" s="11" t="inlineStr">
        <is>
          <t>1. Open a product page with the form
2. Switch Enquiries off in another tab
3. Submit the form on the first tab
4. Verify the expected result.</t>
        </is>
      </c>
      <c r="J65" s="11" t="inlineStr">
        <is>
          <t>The submission is refused; no enquiry is created.</t>
        </is>
      </c>
      <c r="K65" s="11" t="inlineStr"/>
      <c r="L65" s="11" t="inlineStr">
        <is>
          <t>Not Run</t>
        </is>
      </c>
      <c r="M65" s="11" t="inlineStr">
        <is>
          <t>High</t>
        </is>
      </c>
      <c r="N65" s="11" t="inlineStr">
        <is>
          <t>Security/Permissions</t>
        </is>
      </c>
      <c r="O65" s="11" t="inlineStr"/>
      <c r="P65" s="11" t="inlineStr"/>
      <c r="Q65" s="11" t="inlineStr"/>
      <c r="R65" s="11" t="inlineStr"/>
      <c r="S65" s="11" t="inlineStr">
        <is>
          <t>Super admin</t>
        </is>
      </c>
      <c r="T65" s="11" t="inlineStr">
        <is>
          <t>No</t>
        </is>
      </c>
      <c r="U65" s="11" t="inlineStr">
        <is>
          <t>docs/qa/regression/super-admin/SA-07-vendor-features.md</t>
        </is>
      </c>
    </row>
    <row r="66">
      <c r="A66" s="11" t="inlineStr">
        <is>
          <t>SA-07-005</t>
        </is>
      </c>
      <c r="B66" s="11" t="inlineStr">
        <is>
          <t>Super Admin</t>
        </is>
      </c>
      <c r="C66" s="11" t="inlineStr">
        <is>
          <t>SA-07 · Vendor features</t>
        </is>
      </c>
      <c r="D66" s="11" t="inlineStr">
        <is>
          <t>Features</t>
        </is>
      </c>
      <c r="E66" s="11" t="inlineStr">
        <is>
          <t>Dependencies</t>
        </is>
      </c>
      <c r="F66" s="11" t="inlineStr">
        <is>
          <t>Switching on a feature that needs another asks first.</t>
        </is>
      </c>
      <c r="G66" s="11" t="inlineStr">
        <is>
          <t>A feature with a dependency (for example WhatsApp offers needs Offer messages)</t>
        </is>
      </c>
      <c r="H66" s="11" t="inlineStr">
        <is>
          <t>—</t>
        </is>
      </c>
      <c r="I66" s="11" t="inlineStr">
        <is>
          <t>1. Switch on the dependent feature while its requirement is off
2. Verify the expected result.</t>
        </is>
      </c>
      <c r="J66" s="11" t="inlineStr">
        <is>
          <t>A prompt names the feature it needs; confirming switches both on, cancelling changes nothing.</t>
        </is>
      </c>
      <c r="K66" s="11" t="inlineStr"/>
      <c r="L66" s="11" t="inlineStr">
        <is>
          <t>Not Run</t>
        </is>
      </c>
      <c r="M66" s="11" t="inlineStr">
        <is>
          <t>Medium</t>
        </is>
      </c>
      <c r="N66" s="11" t="inlineStr">
        <is>
          <t>Functional</t>
        </is>
      </c>
      <c r="O66" s="11" t="inlineStr"/>
      <c r="P66" s="11" t="inlineStr"/>
      <c r="Q66" s="11" t="inlineStr"/>
      <c r="R66" s="11" t="inlineStr"/>
      <c r="S66" s="11" t="inlineStr">
        <is>
          <t>Super admin</t>
        </is>
      </c>
      <c r="T66" s="11" t="inlineStr">
        <is>
          <t>No</t>
        </is>
      </c>
      <c r="U66" s="11" t="inlineStr">
        <is>
          <t>docs/qa/regression/super-admin/SA-07-vendor-features.md</t>
        </is>
      </c>
    </row>
    <row r="67">
      <c r="A67" s="11" t="inlineStr">
        <is>
          <t>SA-07-006</t>
        </is>
      </c>
      <c r="B67" s="11" t="inlineStr">
        <is>
          <t>Super Admin</t>
        </is>
      </c>
      <c r="C67" s="11" t="inlineStr">
        <is>
          <t>SA-07 · Vendor features</t>
        </is>
      </c>
      <c r="D67" s="11" t="inlineStr">
        <is>
          <t>Features</t>
        </is>
      </c>
      <c r="E67" s="11" t="inlineStr">
        <is>
          <t>Menu follows features</t>
        </is>
      </c>
      <c r="F67" s="11" t="inlineStr">
        <is>
          <t>The vendor CMS menu follows the features.</t>
        </is>
      </c>
      <c r="G67" s="11" t="inlineStr">
        <is>
          <t>Owner signed in (another window)</t>
        </is>
      </c>
      <c r="H67" s="11" t="inlineStr">
        <is>
          <t>Switch Reviews off</t>
        </is>
      </c>
      <c r="I67" s="11" t="inlineStr">
        <is>
          <t>1. Switch Reviews off
2. Reload the owner's CMS
3. Verify the expected result.</t>
        </is>
      </c>
      <c r="J67" s="11" t="inlineStr">
        <is>
          <t>Marketing → Reviews is gone from the owner's menu; switching it on brings it back.</t>
        </is>
      </c>
      <c r="K67" s="11" t="inlineStr"/>
      <c r="L67" s="11" t="inlineStr">
        <is>
          <t>Not Run</t>
        </is>
      </c>
      <c r="M67" s="11" t="inlineStr">
        <is>
          <t>High</t>
        </is>
      </c>
      <c r="N67" s="11" t="inlineStr">
        <is>
          <t>Integration</t>
        </is>
      </c>
      <c r="O67" s="11" t="inlineStr"/>
      <c r="P67" s="11" t="inlineStr"/>
      <c r="Q67" s="11" t="inlineStr"/>
      <c r="R67" s="11" t="inlineStr"/>
      <c r="S67" s="11" t="inlineStr">
        <is>
          <t>Super admin</t>
        </is>
      </c>
      <c r="T67" s="11" t="inlineStr">
        <is>
          <t>No</t>
        </is>
      </c>
      <c r="U67" s="11" t="inlineStr">
        <is>
          <t>docs/qa/regression/super-admin/SA-07-vendor-features.md</t>
        </is>
      </c>
    </row>
    <row r="68">
      <c r="A68" s="11" t="inlineStr">
        <is>
          <t>SA-08-001</t>
        </is>
      </c>
      <c r="B68" s="11" t="inlineStr">
        <is>
          <t>Super Admin</t>
        </is>
      </c>
      <c r="C68" s="11" t="inlineStr">
        <is>
          <t>SA-08 · Vendor connectors</t>
        </is>
      </c>
      <c r="D68" s="11" t="inlineStr">
        <is>
          <t>Connectors</t>
        </is>
      </c>
      <c r="E68" s="11" t="inlineStr">
        <is>
          <t>Layout</t>
        </is>
      </c>
      <c r="F68" s="11" t="inlineStr">
        <is>
          <t>Connectors are grouped with an Allowed switch per provider.</t>
        </is>
      </c>
      <c r="G68" s="11" t="inlineStr">
        <is>
          <t>On Home Orbit → Connectors</t>
        </is>
      </c>
      <c r="H68" s="11" t="inlineStr">
        <is>
          <t>—</t>
        </is>
      </c>
      <c r="I68" s="11" t="inlineStr">
        <is>
          <t>1. Read the tab
2. Verify the expected result.</t>
        </is>
      </c>
      <c r="J68" s="11" t="inlineStr">
        <is>
          <t>Payments (Razorpay), Shipping (manual, Shiprocket), Order updates (WhatsApp, SMS "Comes later", email); each provider has Allowed; unconnected ones say "Not connected by the vendor yet".</t>
        </is>
      </c>
      <c r="K68" s="11" t="inlineStr"/>
      <c r="L68" s="11" t="inlineStr">
        <is>
          <t>Not Run</t>
        </is>
      </c>
      <c r="M68" s="11" t="inlineStr">
        <is>
          <t>High</t>
        </is>
      </c>
      <c r="N68" s="11" t="inlineStr">
        <is>
          <t>UI/UX</t>
        </is>
      </c>
      <c r="O68" s="11" t="inlineStr"/>
      <c r="P68" s="11" t="inlineStr"/>
      <c r="Q68" s="11" t="inlineStr"/>
      <c r="R68" s="11" t="inlineStr"/>
      <c r="S68" s="11" t="inlineStr">
        <is>
          <t>Super admin</t>
        </is>
      </c>
      <c r="T68" s="11" t="inlineStr">
        <is>
          <t>No</t>
        </is>
      </c>
      <c r="U68" s="11" t="inlineStr">
        <is>
          <t>docs/qa/regression/super-admin/SA-08-vendor-connectors.md</t>
        </is>
      </c>
    </row>
    <row r="69">
      <c r="A69" s="11" t="inlineStr">
        <is>
          <t>SA-08-002</t>
        </is>
      </c>
      <c r="B69" s="11" t="inlineStr">
        <is>
          <t>Super Admin</t>
        </is>
      </c>
      <c r="C69" s="11" t="inlineStr">
        <is>
          <t>SA-08 · Vendor connectors</t>
        </is>
      </c>
      <c r="D69" s="11" t="inlineStr">
        <is>
          <t>Connectors</t>
        </is>
      </c>
      <c r="E69" s="11" t="inlineStr">
        <is>
          <t>Disallow a provider</t>
        </is>
      </c>
      <c r="F69" s="11" t="inlineStr">
        <is>
          <t>Switching Allowed off blocks the provider for the store.</t>
        </is>
      </c>
      <c r="G69" s="11" t="inlineStr">
        <is>
          <t>Razorpay allowed</t>
        </is>
      </c>
      <c r="H69" s="11" t="inlineStr">
        <is>
          <t>—</t>
        </is>
      </c>
      <c r="I69" s="11" t="inlineStr">
        <is>
          <t>1. Switch Razorpay Allowed off
2. Read the message
3. As the owner open Store → Payments
4. Verify the expected result.</t>
        </is>
      </c>
      <c r="J69" s="11" t="inlineStr">
        <is>
          <t>"Razorpay switched off for this store"; the owner cannot connect or use Razorpay; switching it back on restores it.</t>
        </is>
      </c>
      <c r="K69" s="11" t="inlineStr"/>
      <c r="L69" s="11" t="inlineStr">
        <is>
          <t>Not Run</t>
        </is>
      </c>
      <c r="M69" s="11" t="inlineStr">
        <is>
          <t>High</t>
        </is>
      </c>
      <c r="N69" s="11" t="inlineStr">
        <is>
          <t>Integration</t>
        </is>
      </c>
      <c r="O69" s="11" t="inlineStr"/>
      <c r="P69" s="11" t="inlineStr"/>
      <c r="Q69" s="11" t="inlineStr"/>
      <c r="R69" s="11" t="inlineStr">
        <is>
          <t>Also: Security/Permissions</t>
        </is>
      </c>
      <c r="S69" s="11" t="inlineStr">
        <is>
          <t>Super admin</t>
        </is>
      </c>
      <c r="T69" s="11" t="inlineStr">
        <is>
          <t>No</t>
        </is>
      </c>
      <c r="U69" s="11" t="inlineStr">
        <is>
          <t>docs/qa/regression/super-admin/SA-08-vendor-connectors.md</t>
        </is>
      </c>
    </row>
    <row r="70">
      <c r="A70" s="11" t="inlineStr">
        <is>
          <t>SA-08-003</t>
        </is>
      </c>
      <c r="B70" s="11" t="inlineStr">
        <is>
          <t>Super Admin</t>
        </is>
      </c>
      <c r="C70" s="11" t="inlineStr">
        <is>
          <t>SA-08 · Vendor connectors</t>
        </is>
      </c>
      <c r="D70" s="11" t="inlineStr">
        <is>
          <t>Connectors</t>
        </is>
      </c>
      <c r="E70" s="11" t="inlineStr">
        <is>
          <t>Secrets never shown</t>
        </is>
      </c>
      <c r="F70" s="11" t="inlineStr">
        <is>
          <t>Connected providers show masked keys only.</t>
        </is>
      </c>
      <c r="G70" s="11" t="inlineStr">
        <is>
          <t>Owner saved Razorpay test keys (VC-25)</t>
        </is>
      </c>
      <c r="H70" s="11" t="inlineStr">
        <is>
          <t>—</t>
        </is>
      </c>
      <c r="I70" s="11" t="inlineStr">
        <is>
          <t>1. Read the Razorpay row
2. Verify the expected result.</t>
        </is>
      </c>
      <c r="J70" s="11" t="inlineStr">
        <is>
          <t>"Connected by", mode, masked key ID and "Encrypted, never shown" per secret; no secret value appears anywhere on the page or in its network responses.</t>
        </is>
      </c>
      <c r="K70" s="11" t="inlineStr"/>
      <c r="L70" s="11" t="inlineStr">
        <is>
          <t>Not Run</t>
        </is>
      </c>
      <c r="M70" s="11" t="inlineStr">
        <is>
          <t>Critical</t>
        </is>
      </c>
      <c r="N70" s="11" t="inlineStr">
        <is>
          <t>Security/Permissions</t>
        </is>
      </c>
      <c r="O70" s="11" t="inlineStr"/>
      <c r="P70" s="11" t="inlineStr"/>
      <c r="Q70" s="11" t="inlineStr"/>
      <c r="R70" s="11" t="inlineStr"/>
      <c r="S70" s="11" t="inlineStr">
        <is>
          <t>Super admin</t>
        </is>
      </c>
      <c r="T70" s="11" t="inlineStr">
        <is>
          <t>Yes</t>
        </is>
      </c>
      <c r="U70" s="11" t="inlineStr">
        <is>
          <t>docs/qa/regression/super-admin/SA-08-vendor-connectors.md</t>
        </is>
      </c>
    </row>
    <row r="71">
      <c r="A71" s="11" t="inlineStr">
        <is>
          <t>SA-08-004</t>
        </is>
      </c>
      <c r="B71" s="11" t="inlineStr">
        <is>
          <t>Super Admin</t>
        </is>
      </c>
      <c r="C71" s="11" t="inlineStr">
        <is>
          <t>SA-08 · Vendor connectors</t>
        </is>
      </c>
      <c r="D71" s="11" t="inlineStr">
        <is>
          <t>Connectors</t>
        </is>
      </c>
      <c r="E71" s="11" t="inlineStr">
        <is>
          <t>COD rules shown</t>
        </is>
      </c>
      <c r="F71" s="11" t="inlineStr">
        <is>
          <t>The vendor's COD rules appear on the tab.</t>
        </is>
      </c>
      <c r="G71" s="11" t="inlineStr">
        <is>
          <t>Owner saved COD rules ₹499–₹25,000, fee ₹49 (VC-25)</t>
        </is>
      </c>
      <c r="H71" s="11" t="inlineStr">
        <is>
          <t>—</t>
        </is>
      </c>
      <c r="I71" s="11" t="inlineStr">
        <is>
          <t>1. Read the COD line
2. Verify the expected result.</t>
        </is>
      </c>
      <c r="J71" s="11" t="inlineStr">
        <is>
          <t>"Vendor rules: orders ₹499.00 to ₹25,000.00, ₹49.00 fee".</t>
        </is>
      </c>
      <c r="K71" s="11" t="inlineStr"/>
      <c r="L71" s="11" t="inlineStr">
        <is>
          <t>Not Run</t>
        </is>
      </c>
      <c r="M71" s="11" t="inlineStr">
        <is>
          <t>Medium</t>
        </is>
      </c>
      <c r="N71" s="11" t="inlineStr">
        <is>
          <t>Integration</t>
        </is>
      </c>
      <c r="O71" s="11" t="inlineStr"/>
      <c r="P71" s="11" t="inlineStr"/>
      <c r="Q71" s="11" t="inlineStr"/>
      <c r="R71" s="11" t="inlineStr"/>
      <c r="S71" s="11" t="inlineStr">
        <is>
          <t>Super admin</t>
        </is>
      </c>
      <c r="T71" s="11" t="inlineStr">
        <is>
          <t>No</t>
        </is>
      </c>
      <c r="U71" s="11" t="inlineStr">
        <is>
          <t>docs/qa/regression/super-admin/SA-08-vendor-connectors.md</t>
        </is>
      </c>
    </row>
    <row r="72">
      <c r="A72" s="11" t="inlineStr">
        <is>
          <t>SA-09-001</t>
        </is>
      </c>
      <c r="B72" s="11" t="inlineStr">
        <is>
          <t>Super Admin</t>
        </is>
      </c>
      <c r="C72" s="11" t="inlineStr">
        <is>
          <t>SA-09 · Vendor domains</t>
        </is>
      </c>
      <c r="D72" s="11" t="inlineStr">
        <is>
          <t>Domains</t>
        </is>
      </c>
      <c r="E72" s="11" t="inlineStr">
        <is>
          <t>Primary domain</t>
        </is>
      </c>
      <c r="F72" s="11" t="inlineStr">
        <is>
          <t>The store's address is listed as primary.</t>
        </is>
      </c>
      <c r="G72" s="11" t="inlineStr">
        <is>
          <t>On Home Orbit → Domains</t>
        </is>
      </c>
      <c r="H72" s="11" t="inlineStr">
        <is>
          <t>—</t>
        </is>
      </c>
      <c r="I72" s="11" t="inlineStr">
        <is>
          <t>1. Read the tab
2. Verify the expected result.</t>
        </is>
      </c>
      <c r="J72" s="11" t="inlineStr">
        <is>
          <t>home-orbit.localhost is listed as primary.</t>
        </is>
      </c>
      <c r="K72" s="11" t="inlineStr"/>
      <c r="L72" s="11" t="inlineStr">
        <is>
          <t>Not Run</t>
        </is>
      </c>
      <c r="M72" s="11" t="inlineStr">
        <is>
          <t>Medium</t>
        </is>
      </c>
      <c r="N72" s="11" t="inlineStr">
        <is>
          <t>Functional</t>
        </is>
      </c>
      <c r="O72" s="11" t="inlineStr"/>
      <c r="P72" s="11" t="inlineStr"/>
      <c r="Q72" s="11" t="inlineStr"/>
      <c r="R72" s="11" t="inlineStr"/>
      <c r="S72" s="11" t="inlineStr">
        <is>
          <t>Super admin</t>
        </is>
      </c>
      <c r="T72" s="11" t="inlineStr">
        <is>
          <t>No</t>
        </is>
      </c>
      <c r="U72" s="11" t="inlineStr">
        <is>
          <t>docs/qa/regression/super-admin/SA-09-vendor-domains.md</t>
        </is>
      </c>
    </row>
    <row r="73">
      <c r="A73" s="11" t="inlineStr">
        <is>
          <t>SA-09-002</t>
        </is>
      </c>
      <c r="B73" s="11" t="inlineStr">
        <is>
          <t>Super Admin</t>
        </is>
      </c>
      <c r="C73" s="11" t="inlineStr">
        <is>
          <t>SA-09 · Vendor domains</t>
        </is>
      </c>
      <c r="D73" s="11" t="inlineStr">
        <is>
          <t>Domains</t>
        </is>
      </c>
      <c r="E73" s="11" t="inlineStr">
        <is>
          <t>Unknown host</t>
        </is>
      </c>
      <c r="F73" s="11" t="inlineStr">
        <is>
          <t>An address that belongs to no store never shows a store.</t>
        </is>
      </c>
      <c r="G73" s="11" t="inlineStr">
        <is>
          <t>—</t>
        </is>
      </c>
      <c r="H73" s="11" t="inlineStr">
        <is>
          <t>http://unknown-store.localhost:3000</t>
        </is>
      </c>
      <c r="I73" s="11" t="inlineStr">
        <is>
          <t>1. Open the address
2. Verify the expected result.</t>
        </is>
      </c>
      <c r="J73" s="11" t="inlineStr">
        <is>
          <t>A plain 404; no store content.</t>
        </is>
      </c>
      <c r="K73" s="11" t="inlineStr"/>
      <c r="L73" s="11" t="inlineStr">
        <is>
          <t>Not Run</t>
        </is>
      </c>
      <c r="M73" s="11" t="inlineStr">
        <is>
          <t>High</t>
        </is>
      </c>
      <c r="N73" s="11" t="inlineStr">
        <is>
          <t>Security/Permissions</t>
        </is>
      </c>
      <c r="O73" s="11" t="inlineStr"/>
      <c r="P73" s="11" t="inlineStr"/>
      <c r="Q73" s="11" t="inlineStr"/>
      <c r="R73" s="11" t="inlineStr"/>
      <c r="S73" s="11" t="inlineStr">
        <is>
          <t>Super admin</t>
        </is>
      </c>
      <c r="T73" s="11" t="inlineStr">
        <is>
          <t>No</t>
        </is>
      </c>
      <c r="U73" s="11" t="inlineStr">
        <is>
          <t>docs/qa/regression/super-admin/SA-09-vendor-domains.md</t>
        </is>
      </c>
    </row>
    <row r="74">
      <c r="A74" s="11" t="inlineStr">
        <is>
          <t>SA-10-001</t>
        </is>
      </c>
      <c r="B74" s="11" t="inlineStr">
        <is>
          <t>Super Admin</t>
        </is>
      </c>
      <c r="C74" s="11" t="inlineStr">
        <is>
          <t>SA-10 · Vendor billing</t>
        </is>
      </c>
      <c r="D74" s="11" t="inlineStr">
        <is>
          <t>Billing</t>
        </is>
      </c>
      <c r="E74" s="11" t="inlineStr">
        <is>
          <t>Plan and offer</t>
        </is>
      </c>
      <c r="F74" s="11" t="inlineStr">
        <is>
          <t>Billing shows the plan, price and starting offer.</t>
        </is>
      </c>
      <c r="G74" s="11" t="inlineStr">
        <is>
          <t>On Home Orbit → Billing</t>
        </is>
      </c>
      <c r="H74" s="11" t="inlineStr">
        <is>
          <t>—</t>
        </is>
      </c>
      <c r="I74" s="11" t="inlineStr">
        <is>
          <t>1. Read the tab
2. Verify the expected result.</t>
        </is>
      </c>
      <c r="J74" s="11" t="inlineStr">
        <is>
          <t>Starter at ₹3,499 + GST, the ₹9,999 starting offer, and the cards Record payment, Change plan, Pause or cancel.</t>
        </is>
      </c>
      <c r="K74" s="11" t="inlineStr"/>
      <c r="L74" s="11" t="inlineStr">
        <is>
          <t>Not Run</t>
        </is>
      </c>
      <c r="M74" s="11" t="inlineStr">
        <is>
          <t>High</t>
        </is>
      </c>
      <c r="N74" s="11" t="inlineStr">
        <is>
          <t>UI/UX</t>
        </is>
      </c>
      <c r="O74" s="11" t="inlineStr"/>
      <c r="P74" s="11" t="inlineStr"/>
      <c r="Q74" s="11" t="inlineStr"/>
      <c r="R74" s="11" t="inlineStr"/>
      <c r="S74" s="11" t="inlineStr">
        <is>
          <t>Super admin</t>
        </is>
      </c>
      <c r="T74" s="11" t="inlineStr">
        <is>
          <t>No</t>
        </is>
      </c>
      <c r="U74" s="11" t="inlineStr">
        <is>
          <t>docs/qa/regression/super-admin/SA-10-vendor-billing.md</t>
        </is>
      </c>
    </row>
    <row r="75">
      <c r="A75" s="11" t="inlineStr">
        <is>
          <t>SA-10-002</t>
        </is>
      </c>
      <c r="B75" s="11" t="inlineStr">
        <is>
          <t>Super Admin</t>
        </is>
      </c>
      <c r="C75" s="11" t="inlineStr">
        <is>
          <t>SA-10 · Vendor billing</t>
        </is>
      </c>
      <c r="D75" s="11" t="inlineStr">
        <is>
          <t>Billing</t>
        </is>
      </c>
      <c r="E75" s="11" t="inlineStr">
        <is>
          <t>Record payment</t>
        </is>
      </c>
      <c r="F75" s="11" t="inlineStr">
        <is>
          <t>Recording a payment moves the paid period and adds history.</t>
        </is>
      </c>
      <c r="G75" s="11" t="inlineStr">
        <is>
          <t>On Billing</t>
        </is>
      </c>
      <c r="H75" s="11" t="inlineStr">
        <is>
          <t>Amount ₹9,999, method and reference</t>
        </is>
      </c>
      <c r="I75" s="11" t="inlineStr">
        <is>
          <t>1. Press Record payment
2. Enter ₹9,999 with a reference
3. Save
4. Reload
5. Verify the expected result.</t>
        </is>
      </c>
      <c r="J75" s="11" t="inlineStr">
        <is>
          <t>The paid period moves ahead (first payment covers the offer's 3 months) and the payment shows in History after reload.</t>
        </is>
      </c>
      <c r="K75" s="11" t="inlineStr"/>
      <c r="L75" s="11" t="inlineStr">
        <is>
          <t>Not Run</t>
        </is>
      </c>
      <c r="M75" s="11" t="inlineStr">
        <is>
          <t>Critical</t>
        </is>
      </c>
      <c r="N75" s="11" t="inlineStr">
        <is>
          <t>Functional</t>
        </is>
      </c>
      <c r="O75" s="11" t="inlineStr"/>
      <c r="P75" s="11" t="inlineStr"/>
      <c r="Q75" s="11" t="inlineStr"/>
      <c r="R75" s="11" t="inlineStr">
        <is>
          <t>Also: Data persistence</t>
        </is>
      </c>
      <c r="S75" s="11" t="inlineStr">
        <is>
          <t>Super admin</t>
        </is>
      </c>
      <c r="T75" s="11" t="inlineStr">
        <is>
          <t>Yes</t>
        </is>
      </c>
      <c r="U75" s="11" t="inlineStr">
        <is>
          <t>docs/qa/regression/super-admin/SA-10-vendor-billing.md</t>
        </is>
      </c>
    </row>
    <row r="76">
      <c r="A76" s="11" t="inlineStr">
        <is>
          <t>SA-10-003</t>
        </is>
      </c>
      <c r="B76" s="11" t="inlineStr">
        <is>
          <t>Super Admin</t>
        </is>
      </c>
      <c r="C76" s="11" t="inlineStr">
        <is>
          <t>SA-10 · Vendor billing</t>
        </is>
      </c>
      <c r="D76" s="11" t="inlineStr">
        <is>
          <t>Billing</t>
        </is>
      </c>
      <c r="E76" s="11" t="inlineStr">
        <is>
          <t>Invalid amount</t>
        </is>
      </c>
      <c r="F76" s="11" t="inlineStr">
        <is>
          <t>A zero or negative payment is refused.</t>
        </is>
      </c>
      <c r="G76" s="11" t="inlineStr">
        <is>
          <t>On Billing</t>
        </is>
      </c>
      <c r="H76" s="11" t="inlineStr">
        <is>
          <t>Amount 0, then -100</t>
        </is>
      </c>
      <c r="I76" s="11" t="inlineStr">
        <is>
          <t>1. Record payment with 0
2. Then with -100
3. Verify the expected result.</t>
        </is>
      </c>
      <c r="J76" s="11" t="inlineStr">
        <is>
          <t>Both refused with a message; nothing is added to History.</t>
        </is>
      </c>
      <c r="K76" s="11" t="inlineStr"/>
      <c r="L76" s="11" t="inlineStr">
        <is>
          <t>Not Run</t>
        </is>
      </c>
      <c r="M76" s="11" t="inlineStr">
        <is>
          <t>High</t>
        </is>
      </c>
      <c r="N76" s="11" t="inlineStr">
        <is>
          <t>Validation</t>
        </is>
      </c>
      <c r="O76" s="11" t="inlineStr"/>
      <c r="P76" s="11" t="inlineStr"/>
      <c r="Q76" s="11" t="inlineStr"/>
      <c r="R76" s="11" t="inlineStr">
        <is>
          <t>Also: Boundary</t>
        </is>
      </c>
      <c r="S76" s="11" t="inlineStr">
        <is>
          <t>Super admin</t>
        </is>
      </c>
      <c r="T76" s="11" t="inlineStr">
        <is>
          <t>No</t>
        </is>
      </c>
      <c r="U76" s="11" t="inlineStr">
        <is>
          <t>docs/qa/regression/super-admin/SA-10-vendor-billing.md</t>
        </is>
      </c>
    </row>
    <row r="77">
      <c r="A77" s="11" t="inlineStr">
        <is>
          <t>SA-10-004</t>
        </is>
      </c>
      <c r="B77" s="11" t="inlineStr">
        <is>
          <t>Super Admin</t>
        </is>
      </c>
      <c r="C77" s="11" t="inlineStr">
        <is>
          <t>SA-10 · Vendor billing</t>
        </is>
      </c>
      <c r="D77" s="11" t="inlineStr">
        <is>
          <t>Billing</t>
        </is>
      </c>
      <c r="E77" s="11" t="inlineStr">
        <is>
          <t>Change plan</t>
        </is>
      </c>
      <c r="F77" s="11" t="inlineStr">
        <is>
          <t>Changing the plan updates limits.</t>
        </is>
      </c>
      <c r="G77" s="11" t="inlineStr">
        <is>
          <t>On Billing</t>
        </is>
      </c>
      <c r="H77" s="11" t="inlineStr">
        <is>
          <t>Plan Enterprise</t>
        </is>
      </c>
      <c r="I77" s="11" t="inlineStr">
        <is>
          <t>1. Press Change plan, pick Enterprise, confirm
2. Open Overview → Plan usage
3. Verify the expected result.</t>
        </is>
      </c>
      <c r="J77" s="11" t="inlineStr">
        <is>
          <t>The plan reads Enterprise; product limit 10,000; the vendor list shows the new plan.</t>
        </is>
      </c>
      <c r="K77" s="11" t="inlineStr"/>
      <c r="L77" s="11" t="inlineStr">
        <is>
          <t>Not Run</t>
        </is>
      </c>
      <c r="M77" s="11" t="inlineStr">
        <is>
          <t>High</t>
        </is>
      </c>
      <c r="N77" s="11" t="inlineStr">
        <is>
          <t>Integration</t>
        </is>
      </c>
      <c r="O77" s="11" t="inlineStr"/>
      <c r="P77" s="11" t="inlineStr"/>
      <c r="Q77" s="11" t="inlineStr"/>
      <c r="R77" s="11" t="inlineStr"/>
      <c r="S77" s="11" t="inlineStr">
        <is>
          <t>Super admin</t>
        </is>
      </c>
      <c r="T77" s="11" t="inlineStr">
        <is>
          <t>No</t>
        </is>
      </c>
      <c r="U77" s="11" t="inlineStr">
        <is>
          <t>docs/qa/regression/super-admin/SA-10-vendor-billing.md</t>
        </is>
      </c>
    </row>
    <row r="78">
      <c r="A78" s="11" t="inlineStr">
        <is>
          <t>SA-10-005</t>
        </is>
      </c>
      <c r="B78" s="11" t="inlineStr">
        <is>
          <t>Super Admin</t>
        </is>
      </c>
      <c r="C78" s="11" t="inlineStr">
        <is>
          <t>SA-10 · Vendor billing</t>
        </is>
      </c>
      <c r="D78" s="11" t="inlineStr">
        <is>
          <t>Billing</t>
        </is>
      </c>
      <c r="E78" s="11" t="inlineStr">
        <is>
          <t>Pause and resume</t>
        </is>
      </c>
      <c r="F78" s="11" t="inlineStr">
        <is>
          <t>Pausing and resuming the subscription changes its status.</t>
        </is>
      </c>
      <c r="G78" s="11" t="inlineStr">
        <is>
          <t>On Billing</t>
        </is>
      </c>
      <c r="H78" s="11" t="inlineStr">
        <is>
          <t>Reason "QA pause"</t>
        </is>
      </c>
      <c r="I78" s="11" t="inlineStr">
        <is>
          <t>1. Press Pause with a reason
2. Read the status
3. Press Resume
4. Verify the expected result.</t>
        </is>
      </c>
      <c r="J78" s="11" t="inlineStr">
        <is>
          <t>Status shows Paused then Active; History records both.</t>
        </is>
      </c>
      <c r="K78" s="11" t="inlineStr"/>
      <c r="L78" s="11" t="inlineStr">
        <is>
          <t>Not Run</t>
        </is>
      </c>
      <c r="M78" s="11" t="inlineStr">
        <is>
          <t>Medium</t>
        </is>
      </c>
      <c r="N78" s="11" t="inlineStr">
        <is>
          <t>Functional</t>
        </is>
      </c>
      <c r="O78" s="11" t="inlineStr"/>
      <c r="P78" s="11" t="inlineStr"/>
      <c r="Q78" s="11" t="inlineStr"/>
      <c r="R78" s="11" t="inlineStr"/>
      <c r="S78" s="11" t="inlineStr">
        <is>
          <t>Super admin</t>
        </is>
      </c>
      <c r="T78" s="11" t="inlineStr">
        <is>
          <t>No</t>
        </is>
      </c>
      <c r="U78" s="11" t="inlineStr">
        <is>
          <t>docs/qa/regression/super-admin/SA-10-vendor-billing.md</t>
        </is>
      </c>
    </row>
    <row r="79">
      <c r="A79" s="11" t="inlineStr">
        <is>
          <t>SA-10-006</t>
        </is>
      </c>
      <c r="B79" s="11" t="inlineStr">
        <is>
          <t>Super Admin</t>
        </is>
      </c>
      <c r="C79" s="11" t="inlineStr">
        <is>
          <t>SA-10 · Vendor billing</t>
        </is>
      </c>
      <c r="D79" s="11" t="inlineStr">
        <is>
          <t>Billing</t>
        </is>
      </c>
      <c r="E79" s="11" t="inlineStr">
        <is>
          <t>Cancel</t>
        </is>
      </c>
      <c r="F79" s="11" t="inlineStr">
        <is>
          <t>Cancelling the subscription asks for confirmation.</t>
        </is>
      </c>
      <c r="G79" s="11" t="inlineStr">
        <is>
          <t>A throw-away store (Test Locks)</t>
        </is>
      </c>
      <c r="H79" s="11" t="inlineStr">
        <is>
          <t>Reason "QA cancel"</t>
        </is>
      </c>
      <c r="I79" s="11" t="inlineStr">
        <is>
          <t>1. Press Cancel subscription
2. Confirm with a reason
3. Verify the expected result.</t>
        </is>
      </c>
      <c r="J79" s="11" t="inlineStr">
        <is>
          <t>Status Cancelled with the end date; Subscriptions lists it under Cancelled.</t>
        </is>
      </c>
      <c r="K79" s="11" t="inlineStr"/>
      <c r="L79" s="11" t="inlineStr">
        <is>
          <t>Not Run</t>
        </is>
      </c>
      <c r="M79" s="11" t="inlineStr">
        <is>
          <t>Medium</t>
        </is>
      </c>
      <c r="N79" s="11" t="inlineStr">
        <is>
          <t>Functional</t>
        </is>
      </c>
      <c r="O79" s="11" t="inlineStr"/>
      <c r="P79" s="11" t="inlineStr"/>
      <c r="Q79" s="11" t="inlineStr"/>
      <c r="R79" s="11" t="inlineStr">
        <is>
          <t>Do not cancel Home Orbit.</t>
        </is>
      </c>
      <c r="S79" s="11" t="inlineStr">
        <is>
          <t>Super admin</t>
        </is>
      </c>
      <c r="T79" s="11" t="inlineStr">
        <is>
          <t>No</t>
        </is>
      </c>
      <c r="U79" s="11" t="inlineStr">
        <is>
          <t>docs/qa/regression/super-admin/SA-10-vendor-billing.md</t>
        </is>
      </c>
    </row>
    <row r="80">
      <c r="A80" s="11" t="inlineStr">
        <is>
          <t>SA-11-001</t>
        </is>
      </c>
      <c r="B80" s="11" t="inlineStr">
        <is>
          <t>Super Admin</t>
        </is>
      </c>
      <c r="C80" s="11" t="inlineStr">
        <is>
          <t>SA-11 · Vendor staff</t>
        </is>
      </c>
      <c r="D80" s="11" t="inlineStr">
        <is>
          <t>Staff</t>
        </is>
      </c>
      <c r="E80" s="11" t="inlineStr">
        <is>
          <t>List</t>
        </is>
      </c>
      <c r="F80" s="11" t="inlineStr">
        <is>
          <t>Staff shows the meter, invite and the table.</t>
        </is>
      </c>
      <c r="G80" s="11" t="inlineStr">
        <is>
          <t>On Home Orbit → Staff</t>
        </is>
      </c>
      <c r="H80" s="11" t="inlineStr">
        <is>
          <t>—</t>
        </is>
      </c>
      <c r="I80" s="11" t="inlineStr">
        <is>
          <t>1. Read the tab
2. Verify the expected result.</t>
        </is>
      </c>
      <c r="J80" s="11" t="inlineStr">
        <is>
          <t>Staff meter, + Invite staff, and rows with name, email, roles, Two-step On/Off and last sign-in; the owner owner@homeorbit.example with invite pending.</t>
        </is>
      </c>
      <c r="K80" s="11" t="inlineStr"/>
      <c r="L80" s="11" t="inlineStr">
        <is>
          <t>Not Run</t>
        </is>
      </c>
      <c r="M80" s="11" t="inlineStr">
        <is>
          <t>High</t>
        </is>
      </c>
      <c r="N80" s="11" t="inlineStr">
        <is>
          <t>UI/UX</t>
        </is>
      </c>
      <c r="O80" s="11" t="inlineStr"/>
      <c r="P80" s="11" t="inlineStr"/>
      <c r="Q80" s="11" t="inlineStr"/>
      <c r="R80" s="11" t="inlineStr"/>
      <c r="S80" s="11" t="inlineStr">
        <is>
          <t>Super admin</t>
        </is>
      </c>
      <c r="T80" s="11" t="inlineStr">
        <is>
          <t>No</t>
        </is>
      </c>
      <c r="U80" s="11" t="inlineStr">
        <is>
          <t>docs/qa/regression/super-admin/SA-11-vendor-staff.md</t>
        </is>
      </c>
    </row>
    <row r="81">
      <c r="A81" s="11" t="inlineStr">
        <is>
          <t>SA-11-002</t>
        </is>
      </c>
      <c r="B81" s="11" t="inlineStr">
        <is>
          <t>Super Admin</t>
        </is>
      </c>
      <c r="C81" s="11" t="inlineStr">
        <is>
          <t>SA-11 · Vendor staff</t>
        </is>
      </c>
      <c r="D81" s="11" t="inlineStr">
        <is>
          <t>Staff</t>
        </is>
      </c>
      <c r="E81" s="11" t="inlineStr">
        <is>
          <t>Resend invite</t>
        </is>
      </c>
      <c r="F81" s="11" t="inlineStr">
        <is>
          <t>Resend invite prints a new link.</t>
        </is>
      </c>
      <c r="G81" s="11" t="inlineStr">
        <is>
          <t>Owner invite pending</t>
        </is>
      </c>
      <c r="H81" s="11" t="inlineStr">
        <is>
          <t>—</t>
        </is>
      </c>
      <c r="I81" s="11" t="inlineStr">
        <is>
          <t>1. Press Resend invite on the owner
2. Watch the `pnpm dev` terminal
3. Verify the expected result.</t>
        </is>
      </c>
      <c r="J81" s="11" t="inlineStr">
        <is>
          <t>A [dev-log email] to owner@homeorbit.example with a fresh set-password link.</t>
        </is>
      </c>
      <c r="K81" s="11" t="inlineStr"/>
      <c r="L81" s="11" t="inlineStr">
        <is>
          <t>Not Run</t>
        </is>
      </c>
      <c r="M81" s="11" t="inlineStr">
        <is>
          <t>High</t>
        </is>
      </c>
      <c r="N81" s="11" t="inlineStr">
        <is>
          <t>Integration</t>
        </is>
      </c>
      <c r="O81" s="11" t="inlineStr"/>
      <c r="P81" s="11" t="inlineStr"/>
      <c r="Q81" s="11" t="inlineStr"/>
      <c r="R81" s="11" t="inlineStr"/>
      <c r="S81" s="11" t="inlineStr">
        <is>
          <t>Super admin</t>
        </is>
      </c>
      <c r="T81" s="11" t="inlineStr">
        <is>
          <t>Yes</t>
        </is>
      </c>
      <c r="U81" s="11" t="inlineStr">
        <is>
          <t>docs/qa/regression/super-admin/SA-11-vendor-staff.md</t>
        </is>
      </c>
    </row>
    <row r="82">
      <c r="A82" s="11" t="inlineStr">
        <is>
          <t>SA-11-003</t>
        </is>
      </c>
      <c r="B82" s="11" t="inlineStr">
        <is>
          <t>Super Admin</t>
        </is>
      </c>
      <c r="C82" s="11" t="inlineStr">
        <is>
          <t>SA-11 · Vendor staff</t>
        </is>
      </c>
      <c r="D82" s="11" t="inlineStr">
        <is>
          <t>Staff</t>
        </is>
      </c>
      <c r="E82" s="11" t="inlineStr">
        <is>
          <t>Invite staff</t>
        </is>
      </c>
      <c r="F82" s="11" t="inlineStr">
        <is>
          <t>Inviting a staff member with a role.</t>
        </is>
      </c>
      <c r="G82" s="11" t="inlineStr">
        <is>
          <t>On Staff</t>
        </is>
      </c>
      <c r="H82" s="11" t="inlineStr">
        <is>
          <t>manager@homeorbit.example, role Manager</t>
        </is>
      </c>
      <c r="I82" s="11" t="inlineStr">
        <is>
          <t>1. Press + Invite staff
2. Fill email, name and role
3. Send
4. Verify the expected result.</t>
        </is>
      </c>
      <c r="J82" s="11" t="inlineStr">
        <is>
          <t>The person is listed with Manager and invite pending; the invite email prints in the terminal.</t>
        </is>
      </c>
      <c r="K82" s="11" t="inlineStr"/>
      <c r="L82" s="11" t="inlineStr">
        <is>
          <t>Not Run</t>
        </is>
      </c>
      <c r="M82" s="11" t="inlineStr">
        <is>
          <t>High</t>
        </is>
      </c>
      <c r="N82" s="11" t="inlineStr">
        <is>
          <t>Functional</t>
        </is>
      </c>
      <c r="O82" s="11" t="inlineStr"/>
      <c r="P82" s="11" t="inlineStr"/>
      <c r="Q82" s="11" t="inlineStr"/>
      <c r="R82" s="11" t="inlineStr"/>
      <c r="S82" s="11" t="inlineStr">
        <is>
          <t>Super admin</t>
        </is>
      </c>
      <c r="T82" s="11" t="inlineStr">
        <is>
          <t>No</t>
        </is>
      </c>
      <c r="U82" s="11" t="inlineStr">
        <is>
          <t>docs/qa/regression/super-admin/SA-11-vendor-staff.md</t>
        </is>
      </c>
    </row>
    <row r="83">
      <c r="A83" s="11" t="inlineStr">
        <is>
          <t>SA-11-004</t>
        </is>
      </c>
      <c r="B83" s="11" t="inlineStr">
        <is>
          <t>Super Admin</t>
        </is>
      </c>
      <c r="C83" s="11" t="inlineStr">
        <is>
          <t>SA-11 · Vendor staff</t>
        </is>
      </c>
      <c r="D83" s="11" t="inlineStr">
        <is>
          <t>Staff</t>
        </is>
      </c>
      <c r="E83" s="11" t="inlineStr">
        <is>
          <t>Staff limit</t>
        </is>
      </c>
      <c r="F83" s="11" t="inlineStr">
        <is>
          <t>The plan's staff limit is enforced.</t>
        </is>
      </c>
      <c r="G83" s="11" t="inlineStr">
        <is>
          <t>Starter allows 3 staff</t>
        </is>
      </c>
      <c r="H83" s="11" t="inlineStr">
        <is>
          <t>Invite until the limit is passed</t>
        </is>
      </c>
      <c r="I83" s="11" t="inlineStr">
        <is>
          <t>1. Invite staff until 3 exist
2. Try a 4th
3. Verify the expected result.</t>
        </is>
      </c>
      <c r="J83" s="11" t="inlineStr">
        <is>
          <t>The 4th invite is refused with the plan limit message.</t>
        </is>
      </c>
      <c r="K83" s="11" t="inlineStr"/>
      <c r="L83" s="11" t="inlineStr">
        <is>
          <t>Not Run</t>
        </is>
      </c>
      <c r="M83" s="11" t="inlineStr">
        <is>
          <t>Medium</t>
        </is>
      </c>
      <c r="N83" s="11" t="inlineStr">
        <is>
          <t>Boundary</t>
        </is>
      </c>
      <c r="O83" s="11" t="inlineStr"/>
      <c r="P83" s="11" t="inlineStr"/>
      <c r="Q83" s="11" t="inlineStr"/>
      <c r="R83" s="11" t="inlineStr"/>
      <c r="S83" s="11" t="inlineStr">
        <is>
          <t>Super admin</t>
        </is>
      </c>
      <c r="T83" s="11" t="inlineStr">
        <is>
          <t>No</t>
        </is>
      </c>
      <c r="U83" s="11" t="inlineStr">
        <is>
          <t>docs/qa/regression/super-admin/SA-11-vendor-staff.md</t>
        </is>
      </c>
    </row>
    <row r="84">
      <c r="A84" s="11" t="inlineStr">
        <is>
          <t>SA-11-005</t>
        </is>
      </c>
      <c r="B84" s="11" t="inlineStr">
        <is>
          <t>Super Admin</t>
        </is>
      </c>
      <c r="C84" s="11" t="inlineStr">
        <is>
          <t>SA-11 · Vendor staff</t>
        </is>
      </c>
      <c r="D84" s="11" t="inlineStr">
        <is>
          <t>Staff</t>
        </is>
      </c>
      <c r="E84" s="11" t="inlineStr">
        <is>
          <t>Change roles</t>
        </is>
      </c>
      <c r="F84" s="11" t="inlineStr">
        <is>
          <t>Changing a staff member's roles saves.</t>
        </is>
      </c>
      <c r="G84" s="11" t="inlineStr">
        <is>
          <t>A staff member exists</t>
        </is>
      </c>
      <c r="H84" s="11" t="inlineStr">
        <is>
          <t>Add Content editor</t>
        </is>
      </c>
      <c r="I84" s="11" t="inlineStr">
        <is>
          <t>1. Press Change roles
2. Tick Content editor
3. Save
4. Reload
5. Verify the expected result.</t>
        </is>
      </c>
      <c r="J84" s="11" t="inlineStr">
        <is>
          <t>The new role shows after reload.</t>
        </is>
      </c>
      <c r="K84" s="11" t="inlineStr"/>
      <c r="L84" s="11" t="inlineStr">
        <is>
          <t>Not Run</t>
        </is>
      </c>
      <c r="M84" s="11" t="inlineStr">
        <is>
          <t>Medium</t>
        </is>
      </c>
      <c r="N84" s="11" t="inlineStr">
        <is>
          <t>Data persistence</t>
        </is>
      </c>
      <c r="O84" s="11" t="inlineStr"/>
      <c r="P84" s="11" t="inlineStr"/>
      <c r="Q84" s="11" t="inlineStr"/>
      <c r="R84" s="11" t="inlineStr"/>
      <c r="S84" s="11" t="inlineStr">
        <is>
          <t>Super admin</t>
        </is>
      </c>
      <c r="T84" s="11" t="inlineStr">
        <is>
          <t>No</t>
        </is>
      </c>
      <c r="U84" s="11" t="inlineStr">
        <is>
          <t>docs/qa/regression/super-admin/SA-11-vendor-staff.md</t>
        </is>
      </c>
    </row>
    <row r="85">
      <c r="A85" s="11" t="inlineStr">
        <is>
          <t>SA-11-006</t>
        </is>
      </c>
      <c r="B85" s="11" t="inlineStr">
        <is>
          <t>Super Admin</t>
        </is>
      </c>
      <c r="C85" s="11" t="inlineStr">
        <is>
          <t>SA-11 · Vendor staff</t>
        </is>
      </c>
      <c r="D85" s="11" t="inlineStr">
        <is>
          <t>Staff</t>
        </is>
      </c>
      <c r="E85" s="11" t="inlineStr">
        <is>
          <t>Reset two-step</t>
        </is>
      </c>
      <c r="F85" s="11" t="inlineStr">
        <is>
          <t>Resetting a staff member's two-step makes them set it up again.</t>
        </is>
      </c>
      <c r="G85" s="11" t="inlineStr">
        <is>
          <t>A staff member with two-step On</t>
        </is>
      </c>
      <c r="H85" s="11" t="inlineStr">
        <is>
          <t>—</t>
        </is>
      </c>
      <c r="I85" s="11" t="inlineStr">
        <is>
          <t>1. Press Reset two-step and confirm
2. Sign in as that person
3. Verify the expected result.</t>
        </is>
      </c>
      <c r="J85" s="11" t="inlineStr">
        <is>
          <t>Two-step reads Off; the reset is audited; the person signs in without a code and can set it up again.</t>
        </is>
      </c>
      <c r="K85" s="11" t="inlineStr"/>
      <c r="L85" s="11" t="inlineStr">
        <is>
          <t>Not Run</t>
        </is>
      </c>
      <c r="M85" s="11" t="inlineStr">
        <is>
          <t>High</t>
        </is>
      </c>
      <c r="N85" s="11" t="inlineStr">
        <is>
          <t>Security/Permissions</t>
        </is>
      </c>
      <c r="O85" s="11" t="inlineStr"/>
      <c r="P85" s="11" t="inlineStr"/>
      <c r="Q85" s="11" t="inlineStr"/>
      <c r="R85" s="11" t="inlineStr"/>
      <c r="S85" s="11" t="inlineStr">
        <is>
          <t>Super admin</t>
        </is>
      </c>
      <c r="T85" s="11" t="inlineStr">
        <is>
          <t>No</t>
        </is>
      </c>
      <c r="U85" s="11" t="inlineStr">
        <is>
          <t>docs/qa/regression/super-admin/SA-11-vendor-staff.md</t>
        </is>
      </c>
    </row>
    <row r="86">
      <c r="A86" s="11" t="inlineStr">
        <is>
          <t>SA-11-007</t>
        </is>
      </c>
      <c r="B86" s="11" t="inlineStr">
        <is>
          <t>Super Admin</t>
        </is>
      </c>
      <c r="C86" s="11" t="inlineStr">
        <is>
          <t>SA-11 · Vendor staff</t>
        </is>
      </c>
      <c r="D86" s="11" t="inlineStr">
        <is>
          <t>Staff</t>
        </is>
      </c>
      <c r="E86" s="11" t="inlineStr">
        <is>
          <t>Last owner protected</t>
        </is>
      </c>
      <c r="F86" s="11" t="inlineStr">
        <is>
          <t>The store's last owner cannot be removed.</t>
        </is>
      </c>
      <c r="G86" s="11" t="inlineStr">
        <is>
          <t>Only one owner</t>
        </is>
      </c>
      <c r="H86" s="11" t="inlineStr">
        <is>
          <t>—</t>
        </is>
      </c>
      <c r="I86" s="11" t="inlineStr">
        <is>
          <t>1. Press Remove on the owner
2. Verify the expected result.</t>
        </is>
      </c>
      <c r="J86" s="11" t="inlineStr">
        <is>
          <t>"The store needs at least one owner. Make someone else owner first."</t>
        </is>
      </c>
      <c r="K86" s="11" t="inlineStr"/>
      <c r="L86" s="11" t="inlineStr">
        <is>
          <t>Not Run</t>
        </is>
      </c>
      <c r="M86" s="11" t="inlineStr">
        <is>
          <t>High</t>
        </is>
      </c>
      <c r="N86" s="11" t="inlineStr">
        <is>
          <t>Negative</t>
        </is>
      </c>
      <c r="O86" s="11" t="inlineStr"/>
      <c r="P86" s="11" t="inlineStr"/>
      <c r="Q86" s="11" t="inlineStr"/>
      <c r="R86" s="11" t="inlineStr"/>
      <c r="S86" s="11" t="inlineStr">
        <is>
          <t>Super admin</t>
        </is>
      </c>
      <c r="T86" s="11" t="inlineStr">
        <is>
          <t>No</t>
        </is>
      </c>
      <c r="U86" s="11" t="inlineStr">
        <is>
          <t>docs/qa/regression/super-admin/SA-11-vendor-staff.md</t>
        </is>
      </c>
    </row>
    <row r="87">
      <c r="A87" s="11" t="inlineStr">
        <is>
          <t>SA-11-008</t>
        </is>
      </c>
      <c r="B87" s="11" t="inlineStr">
        <is>
          <t>Super Admin</t>
        </is>
      </c>
      <c r="C87" s="11" t="inlineStr">
        <is>
          <t>SA-11 · Vendor staff</t>
        </is>
      </c>
      <c r="D87" s="11" t="inlineStr">
        <is>
          <t>Staff</t>
        </is>
      </c>
      <c r="E87" s="11" t="inlineStr">
        <is>
          <t>Remove staff</t>
        </is>
      </c>
      <c r="F87" s="11" t="inlineStr">
        <is>
          <t>Removing a staff member ends their access.</t>
        </is>
      </c>
      <c r="G87" s="11" t="inlineStr">
        <is>
          <t>A non-owner staff member signed in elsewhere</t>
        </is>
      </c>
      <c r="H87" s="11" t="inlineStr">
        <is>
          <t>—</t>
        </is>
      </c>
      <c r="I87" s="11" t="inlineStr">
        <is>
          <t>1. Press Remove and confirm
2. Reload that person's CMS
3. Verify the expected result.</t>
        </is>
      </c>
      <c r="J87" s="11" t="inlineStr">
        <is>
          <t>They lose access to Home Orbit at once.</t>
        </is>
      </c>
      <c r="K87" s="11" t="inlineStr"/>
      <c r="L87" s="11" t="inlineStr">
        <is>
          <t>Not Run</t>
        </is>
      </c>
      <c r="M87" s="11" t="inlineStr">
        <is>
          <t>High</t>
        </is>
      </c>
      <c r="N87" s="11" t="inlineStr">
        <is>
          <t>Security/Permissions</t>
        </is>
      </c>
      <c r="O87" s="11" t="inlineStr"/>
      <c r="P87" s="11" t="inlineStr"/>
      <c r="Q87" s="11" t="inlineStr"/>
      <c r="R87" s="11" t="inlineStr"/>
      <c r="S87" s="11" t="inlineStr">
        <is>
          <t>Super admin</t>
        </is>
      </c>
      <c r="T87" s="11" t="inlineStr">
        <is>
          <t>No</t>
        </is>
      </c>
      <c r="U87" s="11" t="inlineStr">
        <is>
          <t>docs/qa/regression/super-admin/SA-11-vendor-staff.md</t>
        </is>
      </c>
    </row>
    <row r="88">
      <c r="A88" s="11" t="inlineStr">
        <is>
          <t>SA-12-001</t>
        </is>
      </c>
      <c r="B88" s="11" t="inlineStr">
        <is>
          <t>Super Admin</t>
        </is>
      </c>
      <c r="C88" s="11" t="inlineStr">
        <is>
          <t>SA-12 · Plans</t>
        </is>
      </c>
      <c r="D88" s="11" t="inlineStr">
        <is>
          <t>Plans</t>
        </is>
      </c>
      <c r="E88" s="11" t="inlineStr">
        <is>
          <t>Plan cards</t>
        </is>
      </c>
      <c r="F88" s="11" t="inlineStr">
        <is>
          <t>One card per plan with prices and limits.</t>
        </is>
      </c>
      <c r="G88" s="11" t="inlineStr">
        <is>
          <t>Signed in as super admin</t>
        </is>
      </c>
      <c r="H88" s="11" t="inlineStr">
        <is>
          <t>—</t>
        </is>
      </c>
      <c r="I88" s="11" t="inlineStr">
        <is>
          <t>1. Open Billing → Plans
2. Verify the expected result.</t>
        </is>
      </c>
      <c r="J88" s="11" t="inlineStr">
        <is>
          <t>Starter ₹3,499 / month with the starting offer ₹9,999 for 3 months, 500 products, 3 staff, 5 GB, 1,000 orders a month, vendors on it; Enterprise ₹6,999 / month, 10,000 products.</t>
        </is>
      </c>
      <c r="K88" s="11" t="inlineStr">
        <is>
          <t>Starter ₹3,499/month plus GST, starting offer ₹9,999 for 3 months, 500 products, 3 staff, 5 GB, 1,000 orders; Enterprise ₹6,999, 10,000 products, 30 staff, 100 GB, no order limit.</t>
        </is>
      </c>
      <c r="L88" s="11" t="inlineStr">
        <is>
          <t>Pass</t>
        </is>
      </c>
      <c r="M88" s="11" t="inlineStr">
        <is>
          <t>High</t>
        </is>
      </c>
      <c r="N88" s="11" t="inlineStr">
        <is>
          <t>UI/UX</t>
        </is>
      </c>
      <c r="O88" s="11" t="inlineStr">
        <is>
          <t>Claude (Claude in Chrome)</t>
        </is>
      </c>
      <c r="P88" s="11" t="inlineStr">
        <is>
          <t>2026-10-10</t>
        </is>
      </c>
      <c r="Q88" s="11" t="inlineStr"/>
      <c r="R88" s="11" t="inlineStr"/>
      <c r="S88" s="11" t="inlineStr">
        <is>
          <t>Super admin</t>
        </is>
      </c>
      <c r="T88" s="11" t="inlineStr">
        <is>
          <t>Yes</t>
        </is>
      </c>
      <c r="U88" s="11" t="inlineStr">
        <is>
          <t>docs/qa/regression/super-admin/SA-12-plans.md</t>
        </is>
      </c>
    </row>
    <row r="89">
      <c r="A89" s="11" t="inlineStr">
        <is>
          <t>SA-12-002</t>
        </is>
      </c>
      <c r="B89" s="11" t="inlineStr">
        <is>
          <t>Super Admin</t>
        </is>
      </c>
      <c r="C89" s="11" t="inlineStr">
        <is>
          <t>SA-12 · Plans</t>
        </is>
      </c>
      <c r="D89" s="11" t="inlineStr">
        <is>
          <t>Plans</t>
        </is>
      </c>
      <c r="E89" s="11" t="inlineStr">
        <is>
          <t>Matrices</t>
        </is>
      </c>
      <c r="F89" s="11" t="inlineStr">
        <is>
          <t>Features and connectors allowed per plan.</t>
        </is>
      </c>
      <c r="G89" s="11" t="inlineStr">
        <is>
          <t>On Plans</t>
        </is>
      </c>
      <c r="H89" s="11" t="inlineStr">
        <is>
          <t>—</t>
        </is>
      </c>
      <c r="I89" s="11" t="inlineStr">
        <is>
          <t>1. Read Features allowed and Connectors allowed
2. Verify the expected result.</t>
        </is>
      </c>
      <c r="J89" s="11" t="inlineStr">
        <is>
          <t>A row per feature or group with a tick per plan; Phase 2 rows marked P2.</t>
        </is>
      </c>
      <c r="K89" s="11" t="inlineStr">
        <is>
          <t>Features allowed table with Phase and a column per plan.</t>
        </is>
      </c>
      <c r="L89" s="11" t="inlineStr">
        <is>
          <t>Pass</t>
        </is>
      </c>
      <c r="M89" s="11" t="inlineStr">
        <is>
          <t>Medium</t>
        </is>
      </c>
      <c r="N89" s="11" t="inlineStr">
        <is>
          <t>UI/UX</t>
        </is>
      </c>
      <c r="O89" s="11" t="inlineStr">
        <is>
          <t>Claude (Claude in Chrome)</t>
        </is>
      </c>
      <c r="P89" s="11" t="inlineStr">
        <is>
          <t>2026-10-10</t>
        </is>
      </c>
      <c r="Q89" s="11" t="inlineStr"/>
      <c r="R89" s="11" t="inlineStr">
        <is>
          <t>Ticks are icons; read from the page structure.</t>
        </is>
      </c>
      <c r="S89" s="11" t="inlineStr">
        <is>
          <t>Super admin</t>
        </is>
      </c>
      <c r="T89" s="11" t="inlineStr">
        <is>
          <t>No</t>
        </is>
      </c>
      <c r="U89" s="11" t="inlineStr">
        <is>
          <t>docs/qa/regression/super-admin/SA-12-plans.md</t>
        </is>
      </c>
    </row>
    <row r="90">
      <c r="A90" s="11" t="inlineStr">
        <is>
          <t>SA-12-003</t>
        </is>
      </c>
      <c r="B90" s="11" t="inlineStr">
        <is>
          <t>Super Admin</t>
        </is>
      </c>
      <c r="C90" s="11" t="inlineStr">
        <is>
          <t>SA-12 · Plans</t>
        </is>
      </c>
      <c r="D90" s="11" t="inlineStr">
        <is>
          <t>Plans</t>
        </is>
      </c>
      <c r="E90" s="11" t="inlineStr">
        <is>
          <t>Edit plan, no change</t>
        </is>
      </c>
      <c r="F90" s="11" t="inlineStr">
        <is>
          <t>Saving a plan without changes works.</t>
        </is>
      </c>
      <c r="G90" s="11" t="inlineStr">
        <is>
          <t>On Plans</t>
        </is>
      </c>
      <c r="H90" s="11" t="inlineStr">
        <is>
          <t>—</t>
        </is>
      </c>
      <c r="I90" s="11" t="inlineStr">
        <is>
          <t>1. Press Edit plan on Starter
2. Press Save
3. Verify the expected result.</t>
        </is>
      </c>
      <c r="J90" s="11" t="inlineStr">
        <is>
          <t>Saves without errors.</t>
        </is>
      </c>
      <c r="K90" s="11" t="inlineStr"/>
      <c r="L90" s="11" t="inlineStr">
        <is>
          <t>Not Run</t>
        </is>
      </c>
      <c r="M90" s="11" t="inlineStr">
        <is>
          <t>Medium</t>
        </is>
      </c>
      <c r="N90" s="11" t="inlineStr">
        <is>
          <t>Regression</t>
        </is>
      </c>
      <c r="O90" s="11" t="inlineStr"/>
      <c r="P90" s="11" t="inlineStr"/>
      <c r="Q90" s="11" t="inlineStr"/>
      <c r="R90" s="11" t="inlineStr"/>
      <c r="S90" s="11" t="inlineStr">
        <is>
          <t>Super admin</t>
        </is>
      </c>
      <c r="T90" s="11" t="inlineStr">
        <is>
          <t>No</t>
        </is>
      </c>
      <c r="U90" s="11" t="inlineStr">
        <is>
          <t>docs/qa/regression/super-admin/SA-12-plans.md</t>
        </is>
      </c>
    </row>
    <row r="91">
      <c r="A91" s="11" t="inlineStr">
        <is>
          <t>SA-12-004</t>
        </is>
      </c>
      <c r="B91" s="11" t="inlineStr">
        <is>
          <t>Super Admin</t>
        </is>
      </c>
      <c r="C91" s="11" t="inlineStr">
        <is>
          <t>SA-12 · Plans</t>
        </is>
      </c>
      <c r="D91" s="11" t="inlineStr">
        <is>
          <t>Plans</t>
        </is>
      </c>
      <c r="E91" s="11" t="inlineStr">
        <is>
          <t>Edit price</t>
        </is>
      </c>
      <c r="F91" s="11" t="inlineStr">
        <is>
          <t>A price change saves in paise and shows in rupees.</t>
        </is>
      </c>
      <c r="G91" s="11" t="inlineStr">
        <is>
          <t>Editing Starter</t>
        </is>
      </c>
      <c r="H91" s="11" t="inlineStr">
        <is>
          <t>Monthly price ₹3,599</t>
        </is>
      </c>
      <c r="I91" s="11" t="inlineStr">
        <is>
          <t>1. Change the monthly price
2. Save
3. Reload Plans
4. Change it back to ₹3,499
5. Verify the expected result.</t>
        </is>
      </c>
      <c r="J91" s="11" t="inlineStr">
        <is>
          <t>The card shows ₹3,599 after reload; MRR on the dashboard reflects it; restored afterwards.</t>
        </is>
      </c>
      <c r="K91" s="11" t="inlineStr"/>
      <c r="L91" s="11" t="inlineStr">
        <is>
          <t>Not Run</t>
        </is>
      </c>
      <c r="M91" s="11" t="inlineStr">
        <is>
          <t>Medium</t>
        </is>
      </c>
      <c r="N91" s="11" t="inlineStr">
        <is>
          <t>Data persistence</t>
        </is>
      </c>
      <c r="O91" s="11" t="inlineStr"/>
      <c r="P91" s="11" t="inlineStr"/>
      <c r="Q91" s="11" t="inlineStr"/>
      <c r="R91" s="11" t="inlineStr"/>
      <c r="S91" s="11" t="inlineStr">
        <is>
          <t>Super admin</t>
        </is>
      </c>
      <c r="T91" s="11" t="inlineStr">
        <is>
          <t>No</t>
        </is>
      </c>
      <c r="U91" s="11" t="inlineStr">
        <is>
          <t>docs/qa/regression/super-admin/SA-12-plans.md</t>
        </is>
      </c>
    </row>
    <row r="92">
      <c r="A92" s="11" t="inlineStr">
        <is>
          <t>SA-12-005</t>
        </is>
      </c>
      <c r="B92" s="11" t="inlineStr">
        <is>
          <t>Super Admin</t>
        </is>
      </c>
      <c r="C92" s="11" t="inlineStr">
        <is>
          <t>SA-12 · Plans</t>
        </is>
      </c>
      <c r="D92" s="11" t="inlineStr">
        <is>
          <t>Plans</t>
        </is>
      </c>
      <c r="E92" s="11" t="inlineStr">
        <is>
          <t>Invalid limits</t>
        </is>
      </c>
      <c r="F92" s="11" t="inlineStr">
        <is>
          <t>Negative or non-numeric limits are refused.</t>
        </is>
      </c>
      <c r="G92" s="11" t="inlineStr">
        <is>
          <t>Editing a plan</t>
        </is>
      </c>
      <c r="H92" s="11" t="inlineStr">
        <is>
          <t>Products limit -5</t>
        </is>
      </c>
      <c r="I92" s="11" t="inlineStr">
        <is>
          <t>1. Type -5 in the product limit
2. Save
3. Verify the expected result.</t>
        </is>
      </c>
      <c r="J92" s="11" t="inlineStr">
        <is>
          <t>Refused with a validation message.</t>
        </is>
      </c>
      <c r="K92" s="11" t="inlineStr"/>
      <c r="L92" s="11" t="inlineStr">
        <is>
          <t>Not Run</t>
        </is>
      </c>
      <c r="M92" s="11" t="inlineStr">
        <is>
          <t>Medium</t>
        </is>
      </c>
      <c r="N92" s="11" t="inlineStr">
        <is>
          <t>Validation</t>
        </is>
      </c>
      <c r="O92" s="11" t="inlineStr"/>
      <c r="P92" s="11" t="inlineStr"/>
      <c r="Q92" s="11" t="inlineStr"/>
      <c r="R92" s="11" t="inlineStr"/>
      <c r="S92" s="11" t="inlineStr">
        <is>
          <t>Super admin</t>
        </is>
      </c>
      <c r="T92" s="11" t="inlineStr">
        <is>
          <t>No</t>
        </is>
      </c>
      <c r="U92" s="11" t="inlineStr">
        <is>
          <t>docs/qa/regression/super-admin/SA-12-plans.md</t>
        </is>
      </c>
    </row>
    <row r="93">
      <c r="A93" s="11" t="inlineStr">
        <is>
          <t>SA-12-006</t>
        </is>
      </c>
      <c r="B93" s="11" t="inlineStr">
        <is>
          <t>Super Admin</t>
        </is>
      </c>
      <c r="C93" s="11" t="inlineStr">
        <is>
          <t>SA-12 · Plans</t>
        </is>
      </c>
      <c r="D93" s="11" t="inlineStr">
        <is>
          <t>Plans</t>
        </is>
      </c>
      <c r="E93" s="11" t="inlineStr">
        <is>
          <t>Create plan</t>
        </is>
      </c>
      <c r="F93" s="11" t="inlineStr">
        <is>
          <t>A new plan can be created and shows on the page.</t>
        </is>
      </c>
      <c r="G93" s="11" t="inlineStr">
        <is>
          <t>On Plans</t>
        </is>
      </c>
      <c r="H93" s="11" t="inlineStr">
        <is>
          <t>Name "QA plan", code qa, ₹999/month, 50 products</t>
        </is>
      </c>
      <c r="I93" s="11" t="inlineStr">
        <is>
          <t>1. Create a new plan with these values
2. Save
3. Open Plans
4. Verify the expected result.</t>
        </is>
      </c>
      <c r="J93" s="11" t="inlineStr">
        <is>
          <t>A QA plan card shows with its price and limits; set it inactive afterwards (listed apart).</t>
        </is>
      </c>
      <c r="K93" s="11" t="inlineStr"/>
      <c r="L93" s="11" t="inlineStr">
        <is>
          <t>Not Run</t>
        </is>
      </c>
      <c r="M93" s="11" t="inlineStr">
        <is>
          <t>Low</t>
        </is>
      </c>
      <c r="N93" s="11" t="inlineStr">
        <is>
          <t>Functional</t>
        </is>
      </c>
      <c r="O93" s="11" t="inlineStr"/>
      <c r="P93" s="11" t="inlineStr"/>
      <c r="Q93" s="11" t="inlineStr"/>
      <c r="R93" s="11" t="inlineStr"/>
      <c r="S93" s="11" t="inlineStr">
        <is>
          <t>Super admin</t>
        </is>
      </c>
      <c r="T93" s="11" t="inlineStr">
        <is>
          <t>No</t>
        </is>
      </c>
      <c r="U93" s="11" t="inlineStr">
        <is>
          <t>docs/qa/regression/super-admin/SA-12-plans.md</t>
        </is>
      </c>
    </row>
    <row r="94">
      <c r="A94" s="11" t="inlineStr">
        <is>
          <t>SA-13-001</t>
        </is>
      </c>
      <c r="B94" s="11" t="inlineStr">
        <is>
          <t>Super Admin</t>
        </is>
      </c>
      <c r="C94" s="11" t="inlineStr">
        <is>
          <t>SA-13 · Subscriptions</t>
        </is>
      </c>
      <c r="D94" s="11" t="inlineStr">
        <is>
          <t>Subscriptions</t>
        </is>
      </c>
      <c r="E94" s="11" t="inlineStr">
        <is>
          <t>Figures and tabs</t>
        </is>
      </c>
      <c r="F94" s="11" t="inlineStr">
        <is>
          <t>Subscriptions shows the money figures and status tabs.</t>
        </is>
      </c>
      <c r="G94" s="11" t="inlineStr">
        <is>
          <t>Signed in as super admin</t>
        </is>
      </c>
      <c r="H94" s="11" t="inlineStr">
        <is>
          <t>—</t>
        </is>
      </c>
      <c r="I94" s="11" t="inlineStr">
        <is>
          <t>1. Open Billing → Subscriptions
2. Verify the expected result.</t>
        </is>
      </c>
      <c r="J94" s="11" t="inlineStr">
        <is>
          <t>MRR, On trial, Past due and Renewing in 7 days; tabs by status with counts; a row per vendor with plan, billing, period end, next amount incl. GST and last payment.</t>
        </is>
      </c>
      <c r="K94" s="11" t="inlineStr">
        <is>
          <t>MRR ₹6,999, On trial 2, Past due 0, Renewing in 7 days 0; tabs All 3, Trialing 2, Active 1; amounts incl. GST ₹11,798.82 (₹9,999 offer) and ₹8,258.82.</t>
        </is>
      </c>
      <c r="L94" s="11" t="inlineStr">
        <is>
          <t>Pass</t>
        </is>
      </c>
      <c r="M94" s="11" t="inlineStr">
        <is>
          <t>High</t>
        </is>
      </c>
      <c r="N94" s="11" t="inlineStr">
        <is>
          <t>UI/UX</t>
        </is>
      </c>
      <c r="O94" s="11" t="inlineStr">
        <is>
          <t>Claude (Claude in Chrome)</t>
        </is>
      </c>
      <c r="P94" s="11" t="inlineStr">
        <is>
          <t>2026-10-10</t>
        </is>
      </c>
      <c r="Q94" s="11" t="inlineStr"/>
      <c r="R94" s="11" t="inlineStr"/>
      <c r="S94" s="11" t="inlineStr">
        <is>
          <t>Super admin</t>
        </is>
      </c>
      <c r="T94" s="11" t="inlineStr">
        <is>
          <t>Yes</t>
        </is>
      </c>
      <c r="U94" s="11" t="inlineStr">
        <is>
          <t>docs/qa/regression/super-admin/SA-13-subscriptions.md</t>
        </is>
      </c>
    </row>
    <row r="95">
      <c r="A95" s="11" t="inlineStr">
        <is>
          <t>SA-13-002</t>
        </is>
      </c>
      <c r="B95" s="11" t="inlineStr">
        <is>
          <t>Super Admin</t>
        </is>
      </c>
      <c r="C95" s="11" t="inlineStr">
        <is>
          <t>SA-13 · Subscriptions</t>
        </is>
      </c>
      <c r="D95" s="11" t="inlineStr">
        <is>
          <t>Subscriptions</t>
        </is>
      </c>
      <c r="E95" s="11" t="inlineStr">
        <is>
          <t>Record payment on past due</t>
        </is>
      </c>
      <c r="F95" s="11" t="inlineStr">
        <is>
          <t>A past-due row offers Record payment.</t>
        </is>
      </c>
      <c r="G95" s="11" t="inlineStr">
        <is>
          <t>A past-due subscription (period end in the past)</t>
        </is>
      </c>
      <c r="H95" s="11" t="inlineStr">
        <is>
          <t>—</t>
        </is>
      </c>
      <c r="I95" s="11" t="inlineStr">
        <is>
          <t>1. Open the Past due tab
2. Press Record payment on a row
3. Verify the expected result.</t>
        </is>
      </c>
      <c r="J95" s="11" t="inlineStr">
        <is>
          <t>The vendor's Billing card opens ready to record the payment.</t>
        </is>
      </c>
      <c r="K95" s="11" t="inlineStr"/>
      <c r="L95" s="11" t="inlineStr">
        <is>
          <t>Not Run</t>
        </is>
      </c>
      <c r="M95" s="11" t="inlineStr">
        <is>
          <t>Medium</t>
        </is>
      </c>
      <c r="N95" s="11" t="inlineStr">
        <is>
          <t>Integration</t>
        </is>
      </c>
      <c r="O95" s="11" t="inlineStr"/>
      <c r="P95" s="11" t="inlineStr"/>
      <c r="Q95" s="11" t="inlineStr"/>
      <c r="R95" s="11" t="inlineStr"/>
      <c r="S95" s="11" t="inlineStr">
        <is>
          <t>Super admin</t>
        </is>
      </c>
      <c r="T95" s="11" t="inlineStr">
        <is>
          <t>No</t>
        </is>
      </c>
      <c r="U95" s="11" t="inlineStr">
        <is>
          <t>docs/qa/regression/super-admin/SA-13-subscriptions.md</t>
        </is>
      </c>
    </row>
    <row r="96">
      <c r="A96" s="11" t="inlineStr">
        <is>
          <t>SA-13-003</t>
        </is>
      </c>
      <c r="B96" s="11" t="inlineStr">
        <is>
          <t>Super Admin</t>
        </is>
      </c>
      <c r="C96" s="11" t="inlineStr">
        <is>
          <t>SA-13 · Subscriptions</t>
        </is>
      </c>
      <c r="D96" s="11" t="inlineStr">
        <is>
          <t>Subscriptions</t>
        </is>
      </c>
      <c r="E96" s="11" t="inlineStr">
        <is>
          <t>Export CSV</t>
        </is>
      </c>
      <c r="F96" s="11" t="inlineStr">
        <is>
          <t>Export downloads the tab shown.</t>
        </is>
      </c>
      <c r="G96" s="11" t="inlineStr">
        <is>
          <t>On Subscriptions</t>
        </is>
      </c>
      <c r="H96" s="11" t="inlineStr">
        <is>
          <t>—</t>
        </is>
      </c>
      <c r="I96" s="11" t="inlineStr">
        <is>
          <t>1. Pick a tab
2. Press Export CSV
3. Verify the expected result.</t>
        </is>
      </c>
      <c r="J96" s="11" t="inlineStr">
        <is>
          <t>A CSV with the rows of that tab.</t>
        </is>
      </c>
      <c r="K96" s="11" t="inlineStr"/>
      <c r="L96" s="11" t="inlineStr">
        <is>
          <t>Not Run</t>
        </is>
      </c>
      <c r="M96" s="11" t="inlineStr">
        <is>
          <t>Low</t>
        </is>
      </c>
      <c r="N96" s="11" t="inlineStr">
        <is>
          <t>Functional</t>
        </is>
      </c>
      <c r="O96" s="11" t="inlineStr"/>
      <c r="P96" s="11" t="inlineStr"/>
      <c r="Q96" s="11" t="inlineStr"/>
      <c r="R96" s="11" t="inlineStr"/>
      <c r="S96" s="11" t="inlineStr">
        <is>
          <t>Super admin</t>
        </is>
      </c>
      <c r="T96" s="11" t="inlineStr">
        <is>
          <t>No</t>
        </is>
      </c>
      <c r="U96" s="11" t="inlineStr">
        <is>
          <t>docs/qa/regression/super-admin/SA-13-subscriptions.md</t>
        </is>
      </c>
    </row>
    <row r="97">
      <c r="A97" s="11" t="inlineStr">
        <is>
          <t>SA-13-004</t>
        </is>
      </c>
      <c r="B97" s="11" t="inlineStr">
        <is>
          <t>Super Admin</t>
        </is>
      </c>
      <c r="C97" s="11" t="inlineStr">
        <is>
          <t>SA-13 · Subscriptions</t>
        </is>
      </c>
      <c r="D97" s="11" t="inlineStr">
        <is>
          <t>Subscriptions</t>
        </is>
      </c>
      <c r="E97" s="11" t="inlineStr">
        <is>
          <t>MRR follows payments</t>
        </is>
      </c>
      <c r="F97" s="11" t="inlineStr">
        <is>
          <t>Recording a payment updates the figures.</t>
        </is>
      </c>
      <c r="G97" s="11" t="inlineStr">
        <is>
          <t>A trial or past-due subscription</t>
        </is>
      </c>
      <c r="H97" s="11" t="inlineStr">
        <is>
          <t>Record a payment (SA-10)</t>
        </is>
      </c>
      <c r="I97" s="11" t="inlineStr">
        <is>
          <t>1. Note MRR and Past due
2. Record a payment on Billing
3. Reload Subscriptions
4. Verify the expected result.</t>
        </is>
      </c>
      <c r="J97" s="11" t="inlineStr">
        <is>
          <t>The subscription moves to Active and the figures change accordingly.</t>
        </is>
      </c>
      <c r="K97" s="11" t="inlineStr"/>
      <c r="L97" s="11" t="inlineStr">
        <is>
          <t>Not Run</t>
        </is>
      </c>
      <c r="M97" s="11" t="inlineStr">
        <is>
          <t>Medium</t>
        </is>
      </c>
      <c r="N97" s="11" t="inlineStr">
        <is>
          <t>Integration</t>
        </is>
      </c>
      <c r="O97" s="11" t="inlineStr"/>
      <c r="P97" s="11" t="inlineStr"/>
      <c r="Q97" s="11" t="inlineStr"/>
      <c r="R97" s="11" t="inlineStr"/>
      <c r="S97" s="11" t="inlineStr">
        <is>
          <t>Super admin</t>
        </is>
      </c>
      <c r="T97" s="11" t="inlineStr">
        <is>
          <t>No</t>
        </is>
      </c>
      <c r="U97" s="11" t="inlineStr">
        <is>
          <t>docs/qa/regression/super-admin/SA-13-subscriptions.md</t>
        </is>
      </c>
    </row>
    <row r="98">
      <c r="A98" s="11" t="inlineStr">
        <is>
          <t>SA-14-001</t>
        </is>
      </c>
      <c r="B98" s="11" t="inlineStr">
        <is>
          <t>Super Admin</t>
        </is>
      </c>
      <c r="C98" s="11" t="inlineStr">
        <is>
          <t>SA-14 · Team and access, Staff users</t>
        </is>
      </c>
      <c r="D98" s="11" t="inlineStr">
        <is>
          <t>Team</t>
        </is>
      </c>
      <c r="E98" s="11" t="inlineStr">
        <is>
          <t>List and security</t>
        </is>
      </c>
      <c r="F98" s="11" t="inlineStr">
        <is>
          <t>Team and access lists the platform team and security rules.</t>
        </is>
      </c>
      <c r="G98" s="11" t="inlineStr">
        <is>
          <t>Signed in as super admin</t>
        </is>
      </c>
      <c r="H98" s="11" t="inlineStr">
        <is>
          <t>—</t>
        </is>
      </c>
      <c r="I98" s="11" t="inlineStr">
        <is>
          <t>1. Open Platform → Team and access
2. Verify the expected result.</t>
        </is>
      </c>
      <c r="J98" s="11" t="inlineStr">
        <is>
          <t>You as Super admin with Two-step On and last sign-in; Security says two-step Required, 8-hour session, lockout and password length.</t>
        </is>
      </c>
      <c r="K98" s="11" t="inlineStr">
        <is>
          <t>Platform Admin, Super admin, Two-step On, last sign-in Today 11:13; Security: two-step Required, 8 hours, 5 tries 15 min, 10+ characters.</t>
        </is>
      </c>
      <c r="L98" s="11" t="inlineStr">
        <is>
          <t>Pass</t>
        </is>
      </c>
      <c r="M98" s="11" t="inlineStr">
        <is>
          <t>High</t>
        </is>
      </c>
      <c r="N98" s="11" t="inlineStr">
        <is>
          <t>UI/UX</t>
        </is>
      </c>
      <c r="O98" s="11" t="inlineStr">
        <is>
          <t>Claude (Claude in Chrome)</t>
        </is>
      </c>
      <c r="P98" s="11" t="inlineStr">
        <is>
          <t>2026-10-10</t>
        </is>
      </c>
      <c r="Q98" s="11" t="inlineStr"/>
      <c r="R98" s="11" t="inlineStr">
        <is>
          <t>Reset two-step is also offered on your own row; consider hiding it there.</t>
        </is>
      </c>
      <c r="S98" s="11" t="inlineStr">
        <is>
          <t>Super admin</t>
        </is>
      </c>
      <c r="T98" s="11" t="inlineStr">
        <is>
          <t>Yes</t>
        </is>
      </c>
      <c r="U98" s="11" t="inlineStr">
        <is>
          <t>docs/qa/regression/super-admin/SA-14-team.md</t>
        </is>
      </c>
    </row>
    <row r="99">
      <c r="A99" s="11" t="inlineStr">
        <is>
          <t>SA-14-002</t>
        </is>
      </c>
      <c r="B99" s="11" t="inlineStr">
        <is>
          <t>Super Admin</t>
        </is>
      </c>
      <c r="C99" s="11" t="inlineStr">
        <is>
          <t>SA-14 · Team and access, Staff users</t>
        </is>
      </c>
      <c r="D99" s="11" t="inlineStr">
        <is>
          <t>Team</t>
        </is>
      </c>
      <c r="E99" s="11" t="inlineStr">
        <is>
          <t>Invite teammate</t>
        </is>
      </c>
      <c r="F99" s="11" t="inlineStr">
        <is>
          <t>Inviting a Support teammate sends an invite.</t>
        </is>
      </c>
      <c r="G99" s="11" t="inlineStr">
        <is>
          <t>On Team and access</t>
        </is>
      </c>
      <c r="H99" s="11" t="inlineStr">
        <is>
          <t>support.qa@tenantecom.local, Support</t>
        </is>
      </c>
      <c r="I99" s="11" t="inlineStr">
        <is>
          <t>1. Invite the teammate as Support
2. Watch the terminal
3. Verify the expected result.</t>
        </is>
      </c>
      <c r="J99" s="11" t="inlineStr">
        <is>
          <t>Listed as Support, invite pending; the invite email prints in the terminal.</t>
        </is>
      </c>
      <c r="K99" s="11" t="inlineStr"/>
      <c r="L99" s="11" t="inlineStr">
        <is>
          <t>Not Run</t>
        </is>
      </c>
      <c r="M99" s="11" t="inlineStr">
        <is>
          <t>High</t>
        </is>
      </c>
      <c r="N99" s="11" t="inlineStr">
        <is>
          <t>Functional</t>
        </is>
      </c>
      <c r="O99" s="11" t="inlineStr"/>
      <c r="P99" s="11" t="inlineStr"/>
      <c r="Q99" s="11" t="inlineStr"/>
      <c r="R99" s="11" t="inlineStr"/>
      <c r="S99" s="11" t="inlineStr">
        <is>
          <t>Super admin</t>
        </is>
      </c>
      <c r="T99" s="11" t="inlineStr">
        <is>
          <t>No</t>
        </is>
      </c>
      <c r="U99" s="11" t="inlineStr">
        <is>
          <t>docs/qa/regression/super-admin/SA-14-team.md</t>
        </is>
      </c>
    </row>
    <row r="100">
      <c r="A100" s="11" t="inlineStr">
        <is>
          <t>SA-14-003</t>
        </is>
      </c>
      <c r="B100" s="11" t="inlineStr">
        <is>
          <t>Super Admin</t>
        </is>
      </c>
      <c r="C100" s="11" t="inlineStr">
        <is>
          <t>SA-14 · Team and access, Staff users</t>
        </is>
      </c>
      <c r="D100" s="11" t="inlineStr">
        <is>
          <t>Team</t>
        </is>
      </c>
      <c r="E100" s="11" t="inlineStr">
        <is>
          <t>Invalid email</t>
        </is>
      </c>
      <c r="F100" s="11" t="inlineStr">
        <is>
          <t>An invalid email is refused.</t>
        </is>
      </c>
      <c r="G100" s="11" t="inlineStr">
        <is>
          <t>On Team and access</t>
        </is>
      </c>
      <c r="H100" s="11" t="inlineStr">
        <is>
          <t>Email "not-an-email"</t>
        </is>
      </c>
      <c r="I100" s="11" t="inlineStr">
        <is>
          <t>1. Invite with the invalid email
2. Verify the expected result.</t>
        </is>
      </c>
      <c r="J100" s="11" t="inlineStr">
        <is>
          <t>Refused with an email format message.</t>
        </is>
      </c>
      <c r="K100" s="11" t="inlineStr"/>
      <c r="L100" s="11" t="inlineStr">
        <is>
          <t>Not Run</t>
        </is>
      </c>
      <c r="M100" s="11" t="inlineStr">
        <is>
          <t>Medium</t>
        </is>
      </c>
      <c r="N100" s="11" t="inlineStr">
        <is>
          <t>Validation</t>
        </is>
      </c>
      <c r="O100" s="11" t="inlineStr"/>
      <c r="P100" s="11" t="inlineStr"/>
      <c r="Q100" s="11" t="inlineStr"/>
      <c r="R100" s="11" t="inlineStr"/>
      <c r="S100" s="11" t="inlineStr">
        <is>
          <t>Super admin</t>
        </is>
      </c>
      <c r="T100" s="11" t="inlineStr">
        <is>
          <t>No</t>
        </is>
      </c>
      <c r="U100" s="11" t="inlineStr">
        <is>
          <t>docs/qa/regression/super-admin/SA-14-team.md</t>
        </is>
      </c>
    </row>
    <row r="101">
      <c r="A101" s="11" t="inlineStr">
        <is>
          <t>SA-14-004</t>
        </is>
      </c>
      <c r="B101" s="11" t="inlineStr">
        <is>
          <t>Super Admin</t>
        </is>
      </c>
      <c r="C101" s="11" t="inlineStr">
        <is>
          <t>SA-14 · Team and access, Staff users</t>
        </is>
      </c>
      <c r="D101" s="11" t="inlineStr">
        <is>
          <t>Team</t>
        </is>
      </c>
      <c r="E101" s="11" t="inlineStr">
        <is>
          <t>Reset two-step (super admin only)</t>
        </is>
      </c>
      <c r="F101" s="11" t="inlineStr">
        <is>
          <t>A super admin resets a teammate's two-step.</t>
        </is>
      </c>
      <c r="G101" s="11" t="inlineStr">
        <is>
          <t>A teammate with two-step On</t>
        </is>
      </c>
      <c r="H101" s="11" t="inlineStr">
        <is>
          <t>—</t>
        </is>
      </c>
      <c r="I101" s="11" t="inlineStr">
        <is>
          <t>1. Press Reset two-step on the teammate and confirm
2. Verify the expected result.</t>
        </is>
      </c>
      <c r="J101" s="11" t="inlineStr">
        <is>
          <t>Two-step Off; the teammate must set it up again at the next sign-in; the reset is audited.</t>
        </is>
      </c>
      <c r="K101" s="11" t="inlineStr"/>
      <c r="L101" s="11" t="inlineStr">
        <is>
          <t>Not Run</t>
        </is>
      </c>
      <c r="M101" s="11" t="inlineStr">
        <is>
          <t>High</t>
        </is>
      </c>
      <c r="N101" s="11" t="inlineStr">
        <is>
          <t>Security/Permissions</t>
        </is>
      </c>
      <c r="O101" s="11" t="inlineStr"/>
      <c r="P101" s="11" t="inlineStr"/>
      <c r="Q101" s="11" t="inlineStr"/>
      <c r="R101" s="11" t="inlineStr"/>
      <c r="S101" s="11" t="inlineStr">
        <is>
          <t>Super admin</t>
        </is>
      </c>
      <c r="T101" s="11" t="inlineStr">
        <is>
          <t>No</t>
        </is>
      </c>
      <c r="U101" s="11" t="inlineStr">
        <is>
          <t>docs/qa/regression/super-admin/SA-14-team.md</t>
        </is>
      </c>
    </row>
    <row r="102">
      <c r="A102" s="11" t="inlineStr">
        <is>
          <t>SA-14-005</t>
        </is>
      </c>
      <c r="B102" s="11" t="inlineStr">
        <is>
          <t>Super Admin</t>
        </is>
      </c>
      <c r="C102" s="11" t="inlineStr">
        <is>
          <t>SA-14 · Team and access, Staff users</t>
        </is>
      </c>
      <c r="D102" s="11" t="inlineStr">
        <is>
          <t>Staff users</t>
        </is>
      </c>
      <c r="E102" s="11" t="inlineStr">
        <is>
          <t>Staff users list</t>
        </is>
      </c>
      <c r="F102" s="11" t="inlineStr">
        <is>
          <t>Staff users lists every admin user.</t>
        </is>
      </c>
      <c r="G102" s="11" t="inlineStr">
        <is>
          <t>Signed in as super admin</t>
        </is>
      </c>
      <c r="H102" s="11" t="inlineStr">
        <is>
          <t>—</t>
        </is>
      </c>
      <c r="I102" s="11" t="inlineStr">
        <is>
          <t>1. Open Platform → Staff users
2. Verify the expected result.</t>
        </is>
      </c>
      <c r="J102" s="11" t="inlineStr">
        <is>
          <t>A list of users with email and roles; secrets such as two-step keys never show.</t>
        </is>
      </c>
      <c r="K102" s="11" t="inlineStr"/>
      <c r="L102" s="11" t="inlineStr">
        <is>
          <t>Not Run</t>
        </is>
      </c>
      <c r="M102" s="11" t="inlineStr">
        <is>
          <t>Medium</t>
        </is>
      </c>
      <c r="N102" s="11" t="inlineStr">
        <is>
          <t>Security/Permissions</t>
        </is>
      </c>
      <c r="O102" s="11" t="inlineStr"/>
      <c r="P102" s="11" t="inlineStr"/>
      <c r="Q102" s="11" t="inlineStr"/>
      <c r="R102" s="11" t="inlineStr"/>
      <c r="S102" s="11" t="inlineStr">
        <is>
          <t>Super admin</t>
        </is>
      </c>
      <c r="T102" s="11" t="inlineStr">
        <is>
          <t>No</t>
        </is>
      </c>
      <c r="U102" s="11" t="inlineStr">
        <is>
          <t>docs/qa/regression/super-admin/SA-14-team.md</t>
        </is>
      </c>
    </row>
    <row r="103">
      <c r="A103" s="11" t="inlineStr">
        <is>
          <t>SA-15-001</t>
        </is>
      </c>
      <c r="B103" s="11" t="inlineStr">
        <is>
          <t>Super Admin</t>
        </is>
      </c>
      <c r="C103" s="11" t="inlineStr">
        <is>
          <t>SA-15 · Platform permissions and isolation</t>
        </is>
      </c>
      <c r="D103" s="11" t="inlineStr">
        <is>
          <t>Support role</t>
        </is>
      </c>
      <c r="E103" s="11" t="inlineStr">
        <is>
          <t>Support cannot onboard</t>
        </is>
      </c>
      <c r="F103" s="11" t="inlineStr">
        <is>
          <t>A Support teammate has no New vendor and cannot create stores.</t>
        </is>
      </c>
      <c r="G103" s="11" t="inlineStr">
        <is>
          <t>Signed in as Support (two-step set up)</t>
        </is>
      </c>
      <c r="H103" s="11" t="inlineStr">
        <is>
          <t>—</t>
        </is>
      </c>
      <c r="I103" s="11" t="inlineStr">
        <is>
          <t>1. Read the menu
2. Open http://localhost:3000/admin/new-vendor
3. Verify the expected result.</t>
        </is>
      </c>
      <c r="J103" s="11" t="inlineStr">
        <is>
          <t>New vendor is not in the menu and the page refuses access.</t>
        </is>
      </c>
      <c r="K103" s="11" t="inlineStr"/>
      <c r="L103" s="11" t="inlineStr">
        <is>
          <t>Not Run</t>
        </is>
      </c>
      <c r="M103" s="11" t="inlineStr">
        <is>
          <t>High</t>
        </is>
      </c>
      <c r="N103" s="11" t="inlineStr">
        <is>
          <t>Security/Permissions</t>
        </is>
      </c>
      <c r="O103" s="11" t="inlineStr"/>
      <c r="P103" s="11" t="inlineStr"/>
      <c r="Q103" s="11" t="inlineStr"/>
      <c r="R103" s="11" t="inlineStr"/>
      <c r="S103" s="11" t="inlineStr">
        <is>
          <t>Super admin</t>
        </is>
      </c>
      <c r="T103" s="11" t="inlineStr">
        <is>
          <t>No</t>
        </is>
      </c>
      <c r="U103" s="11" t="inlineStr">
        <is>
          <t>docs/qa/regression/super-admin/SA-15-permissions.md</t>
        </is>
      </c>
    </row>
    <row r="104">
      <c r="A104" s="11" t="inlineStr">
        <is>
          <t>SA-15-002</t>
        </is>
      </c>
      <c r="B104" s="11" t="inlineStr">
        <is>
          <t>Super Admin</t>
        </is>
      </c>
      <c r="C104" s="11" t="inlineStr">
        <is>
          <t>SA-15 · Platform permissions and isolation</t>
        </is>
      </c>
      <c r="D104" s="11" t="inlineStr">
        <is>
          <t>Support role</t>
        </is>
      </c>
      <c r="E104" s="11" t="inlineStr">
        <is>
          <t>Support cannot reset two-step</t>
        </is>
      </c>
      <c r="F104" s="11" t="inlineStr">
        <is>
          <t>Only super admins reset two-step.</t>
        </is>
      </c>
      <c r="G104" s="11" t="inlineStr">
        <is>
          <t>Signed in as Support</t>
        </is>
      </c>
      <c r="H104" s="11" t="inlineStr">
        <is>
          <t>—</t>
        </is>
      </c>
      <c r="I104" s="11" t="inlineStr">
        <is>
          <t>1. Open Team and access
2. Verify the expected result.</t>
        </is>
      </c>
      <c r="J104" s="11" t="inlineStr">
        <is>
          <t>No Reset two-step action (or it is refused).</t>
        </is>
      </c>
      <c r="K104" s="11" t="inlineStr"/>
      <c r="L104" s="11" t="inlineStr">
        <is>
          <t>Not Run</t>
        </is>
      </c>
      <c r="M104" s="11" t="inlineStr">
        <is>
          <t>High</t>
        </is>
      </c>
      <c r="N104" s="11" t="inlineStr">
        <is>
          <t>Security/Permissions</t>
        </is>
      </c>
      <c r="O104" s="11" t="inlineStr"/>
      <c r="P104" s="11" t="inlineStr"/>
      <c r="Q104" s="11" t="inlineStr"/>
      <c r="R104" s="11" t="inlineStr"/>
      <c r="S104" s="11" t="inlineStr">
        <is>
          <t>Super admin</t>
        </is>
      </c>
      <c r="T104" s="11" t="inlineStr">
        <is>
          <t>No</t>
        </is>
      </c>
      <c r="U104" s="11" t="inlineStr">
        <is>
          <t>docs/qa/regression/super-admin/SA-15-permissions.md</t>
        </is>
      </c>
    </row>
    <row r="105">
      <c r="A105" s="11" t="inlineStr">
        <is>
          <t>SA-15-003</t>
        </is>
      </c>
      <c r="B105" s="11" t="inlineStr">
        <is>
          <t>Super Admin</t>
        </is>
      </c>
      <c r="C105" s="11" t="inlineStr">
        <is>
          <t>SA-15 · Platform permissions and isolation</t>
        </is>
      </c>
      <c r="D105" s="11" t="inlineStr">
        <is>
          <t>Store staff</t>
        </is>
      </c>
      <c r="E105" s="11" t="inlineStr">
        <is>
          <t>Store staff never see the platform</t>
        </is>
      </c>
      <c r="F105" s="11" t="inlineStr">
        <is>
          <t>A store owner cannot open platform screens.</t>
        </is>
      </c>
      <c r="G105" s="11" t="inlineStr">
        <is>
          <t>Signed in as a store owner</t>
        </is>
      </c>
      <c r="H105" s="11" t="inlineStr">
        <is>
          <t>http://localhost:3000/admin/collections/tenants, http://localhost:3000/admin/collections/plans</t>
        </is>
      </c>
      <c r="I105" s="11" t="inlineStr">
        <is>
          <t>1. Open each address
2. Verify the expected result.</t>
        </is>
      </c>
      <c r="J105" s="11" t="inlineStr">
        <is>
          <t>"Nothing found" or no access for both; the menu has no Vendors, Billing or Platform.</t>
        </is>
      </c>
      <c r="K105" s="11" t="inlineStr"/>
      <c r="L105" s="11" t="inlineStr">
        <is>
          <t>Not Run</t>
        </is>
      </c>
      <c r="M105" s="11" t="inlineStr">
        <is>
          <t>Critical</t>
        </is>
      </c>
      <c r="N105" s="11" t="inlineStr">
        <is>
          <t>Security/Permissions</t>
        </is>
      </c>
      <c r="O105" s="11" t="inlineStr"/>
      <c r="P105" s="11" t="inlineStr"/>
      <c r="Q105" s="11" t="inlineStr"/>
      <c r="R105" s="11" t="inlineStr"/>
      <c r="S105" s="11" t="inlineStr">
        <is>
          <t>Super admin</t>
        </is>
      </c>
      <c r="T105" s="11" t="inlineStr">
        <is>
          <t>Yes</t>
        </is>
      </c>
      <c r="U105" s="11" t="inlineStr">
        <is>
          <t>docs/qa/regression/super-admin/SA-15-permissions.md</t>
        </is>
      </c>
    </row>
    <row r="106">
      <c r="A106" s="11" t="inlineStr">
        <is>
          <t>SA-15-004</t>
        </is>
      </c>
      <c r="B106" s="11" t="inlineStr">
        <is>
          <t>Super Admin</t>
        </is>
      </c>
      <c r="C106" s="11" t="inlineStr">
        <is>
          <t>SA-15 · Platform permissions and isolation</t>
        </is>
      </c>
      <c r="D106" s="11" t="inlineStr">
        <is>
          <t>API</t>
        </is>
      </c>
      <c r="E106" s="11" t="inlineStr">
        <is>
          <t>Platform endpoints need a platform login</t>
        </is>
      </c>
      <c r="F106" s="11" t="inlineStr">
        <is>
          <t>Platform exports refuse store staff and guests.</t>
        </is>
      </c>
      <c r="G106" s="11" t="inlineStr">
        <is>
          <t>Signed out, then signed in as a store owner</t>
        </is>
      </c>
      <c r="H106" s="11" t="inlineStr">
        <is>
          <t>http://localhost:3000/api/admin/v1/platform/vendors/export</t>
        </is>
      </c>
      <c r="I106" s="11" t="inlineStr">
        <is>
          <t>1. Open the address signed out
2. Open it as a store owner
3. Verify the expected result.</t>
        </is>
      </c>
      <c r="J106" s="11" t="inlineStr">
        <is>
          <t>Refused both times (401 or 403); no CSV is returned.</t>
        </is>
      </c>
      <c r="K106" s="11" t="inlineStr"/>
      <c r="L106" s="11" t="inlineStr">
        <is>
          <t>Not Run</t>
        </is>
      </c>
      <c r="M106" s="11" t="inlineStr">
        <is>
          <t>High</t>
        </is>
      </c>
      <c r="N106" s="11" t="inlineStr">
        <is>
          <t>Security/Permissions</t>
        </is>
      </c>
      <c r="O106" s="11" t="inlineStr"/>
      <c r="P106" s="11" t="inlineStr"/>
      <c r="Q106" s="11" t="inlineStr"/>
      <c r="R106" s="11" t="inlineStr"/>
      <c r="S106" s="11" t="inlineStr">
        <is>
          <t>Super admin</t>
        </is>
      </c>
      <c r="T106" s="11" t="inlineStr">
        <is>
          <t>No</t>
        </is>
      </c>
      <c r="U106" s="11" t="inlineStr">
        <is>
          <t>docs/qa/regression/super-admin/SA-15-permissions.md</t>
        </is>
      </c>
    </row>
  </sheetData>
  <autoFilter ref="A1:U106"/>
  <conditionalFormatting sqref="L2:L306">
    <cfRule type="cellIs" priority="1" operator="equal" dxfId="1">
      <formula>"Pass"</formula>
    </cfRule>
    <cfRule type="cellIs" priority="2" operator="equal" dxfId="0">
      <formula>"Fail"</formula>
    </cfRule>
    <cfRule type="cellIs" priority="3" operator="equal" dxfId="2">
      <formula>"Blocked"</formula>
    </cfRule>
    <cfRule type="cellIs" priority="4" operator="equal" dxfId="3">
      <formula>"Not Run"</formula>
    </cfRule>
    <cfRule type="cellIs" priority="5" operator="equal" dxfId="4">
      <formula>"Not Applicable"</formula>
    </cfRule>
  </conditionalFormatting>
  <conditionalFormatting sqref="M2:M306">
    <cfRule type="cellIs" priority="6" operator="equal" dxfId="5">
      <formula>"Critical"</formula>
    </cfRule>
  </conditionalFormatting>
  <dataValidations count="5">
    <dataValidation sqref="L2:L306" showDropDown="0" showInputMessage="0" showErrorMessage="0" allowBlank="1" errorTitle="Invalid value" error="Pick a value from the list" type="list">
      <formula1>"Not Run,Pass,Fail,Blocked,Not Applicable"</formula1>
    </dataValidation>
    <dataValidation sqref="M2:M306" showDropDown="0" showInputMessage="0" showErrorMessage="0" allowBlank="1" errorTitle="Invalid value" error="Pick a value from the list" type="list">
      <formula1>"Critical,High,Medium,Low"</formula1>
    </dataValidation>
    <dataValidation sqref="N2:N306" showDropDown="0" showInputMessage="0" showErrorMessage="0" allowBlank="1" errorTitle="Invalid value" error="Pick a value from the list" type="list">
      <formula1>"Functional,Regression,Negative,Validation,Boundary,Integration,UI/UX,Security/Permissions,Data persistence,Accessibility"</formula1>
    </dataValidation>
    <dataValidation sqref="B2:B306" showDropDown="0" showInputMessage="0" showErrorMessage="0" allowBlank="1" errorTitle="Invalid value" error="Pick a value from the list" type="list">
      <formula1>"Super Admin,Vendor CMS,End-to-End"</formula1>
    </dataValidation>
    <dataValidation sqref="T2:T306"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6" customWidth="1" min="3" max="3"/>
    <col width="18" customWidth="1" min="4" max="4"/>
    <col width="22" customWidth="1" min="5" max="5"/>
    <col width="38" customWidth="1" min="6" max="6"/>
    <col width="30" customWidth="1" min="7" max="7"/>
    <col width="28" customWidth="1" min="8" max="8"/>
    <col width="55" customWidth="1" min="9" max="9"/>
    <col width="48" customWidth="1" min="10" max="10"/>
    <col width="36" customWidth="1" min="11" max="11"/>
    <col width="12" customWidth="1" min="12" max="12"/>
    <col width="10" customWidth="1" min="13" max="13"/>
    <col width="18" customWidth="1" min="14" max="14"/>
    <col width="16" customWidth="1" min="15" max="15"/>
    <col width="13" customWidth="1" min="16" max="16"/>
    <col width="12" customWidth="1" min="17" max="17"/>
    <col width="34" customWidth="1" min="18" max="18"/>
    <col width="18" customWidth="1" min="19" max="19"/>
    <col width="9" customWidth="1" min="20" max="20"/>
    <col width="40" customWidth="1" min="21" max="21"/>
  </cols>
  <sheetData>
    <row r="1" ht="32" customHeight="1">
      <c r="A1" s="10" t="inlineStr">
        <is>
          <t>Test Case ID</t>
        </is>
      </c>
      <c r="B1" s="10" t="inlineStr">
        <is>
          <t>Application/Portal</t>
        </is>
      </c>
      <c r="C1" s="10" t="inlineStr">
        <is>
          <t>Module Name</t>
        </is>
      </c>
      <c r="D1" s="10" t="inlineStr">
        <is>
          <t>Submodule/Feature</t>
        </is>
      </c>
      <c r="E1" s="10" t="inlineStr">
        <is>
          <t>Functionality</t>
        </is>
      </c>
      <c r="F1" s="10" t="inlineStr">
        <is>
          <t>Test Scenario</t>
        </is>
      </c>
      <c r="G1" s="10" t="inlineStr">
        <is>
          <t>Preconditions</t>
        </is>
      </c>
      <c r="H1" s="10" t="inlineStr">
        <is>
          <t>Test Data</t>
        </is>
      </c>
      <c r="I1" s="10" t="inlineStr">
        <is>
          <t>Step-by-Step Instructions</t>
        </is>
      </c>
      <c r="J1" s="10" t="inlineStr">
        <is>
          <t>Expected Result</t>
        </is>
      </c>
      <c r="K1" s="10" t="inlineStr">
        <is>
          <t>Actual Result</t>
        </is>
      </c>
      <c r="L1" s="10" t="inlineStr">
        <is>
          <t>Status</t>
        </is>
      </c>
      <c r="M1" s="10" t="inlineStr">
        <is>
          <t>Priority</t>
        </is>
      </c>
      <c r="N1" s="10" t="inlineStr">
        <is>
          <t>Test Type</t>
        </is>
      </c>
      <c r="O1" s="10" t="inlineStr">
        <is>
          <t>Executed By</t>
        </is>
      </c>
      <c r="P1" s="10" t="inlineStr">
        <is>
          <t>Execution Date</t>
        </is>
      </c>
      <c r="Q1" s="10" t="inlineStr">
        <is>
          <t>Defect/Bug ID</t>
        </is>
      </c>
      <c r="R1" s="10" t="inlineStr">
        <is>
          <t>Remarks/Additional Notes</t>
        </is>
      </c>
      <c r="S1" s="10" t="inlineStr">
        <is>
          <t>Role</t>
        </is>
      </c>
      <c r="T1" s="10" t="inlineStr">
        <is>
          <t>Smoke Run</t>
        </is>
      </c>
      <c r="U1" s="10" t="inlineStr">
        <is>
          <t>Regression Script</t>
        </is>
      </c>
    </row>
    <row r="2">
      <c r="A2" s="11" t="inlineStr">
        <is>
          <t>E2E-01-001</t>
        </is>
      </c>
      <c r="B2" s="11" t="inlineStr">
        <is>
          <t>End-to-End</t>
        </is>
      </c>
      <c r="C2" s="11" t="inlineStr">
        <is>
          <t>E2E-01 · Vendor onboarding to first store preview</t>
        </is>
      </c>
      <c r="D2" s="11" t="inlineStr">
        <is>
          <t>Onboarding</t>
        </is>
      </c>
      <c r="E2" s="11" t="inlineStr">
        <is>
          <t>Create, invite, set password, preview</t>
        </is>
      </c>
      <c r="F2" s="11" t="inlineStr">
        <is>
          <t>A vendor created by the super admin is usable end to end by its owner.</t>
        </is>
      </c>
      <c r="G2" s="11" t="inlineStr">
        <is>
          <t>Super admin signed in; slug e2e-store unused</t>
        </is>
      </c>
      <c r="H2" s="11" t="inlineStr">
        <is>
          <t>E2E Store / E2E Store Pvt Ltd / Hardware / 29AABCT1234F1ZM / e2e-store / Starter / e2e.owner@example.com</t>
        </is>
      </c>
      <c r="I2" s="11" t="inlineStr">
        <is>
          <t>1. Super admin: New vendor with the data, invite ticked → Create vendor
2. Copy the set-password link from the `pnpm dev` terminal
3. Private window: open the link, set password "E2eStore@2026"
4. Verify the owner lands on the E2E Store dashboard with the launch checklist
5. Open http://e2e-store.localhost:3000
6. Verify the expected result.</t>
        </is>
      </c>
      <c r="J2" s="11" t="inlineStr">
        <is>
          <t>Store draft in All vendors; owner signed in to their own store only; the store opens in the default design with a preview banner.</t>
        </is>
      </c>
      <c r="K2" s="11" t="inlineStr"/>
      <c r="L2" s="11" t="inlineStr">
        <is>
          <t>Not Run</t>
        </is>
      </c>
      <c r="M2" s="11" t="inlineStr">
        <is>
          <t>Critical</t>
        </is>
      </c>
      <c r="N2" s="11" t="inlineStr">
        <is>
          <t>Integration</t>
        </is>
      </c>
      <c r="O2" s="11" t="inlineStr"/>
      <c r="P2" s="11" t="inlineStr"/>
      <c r="Q2" s="11" t="inlineStr"/>
      <c r="R2" s="11" t="inlineStr"/>
      <c r="S2" s="11" t="inlineStr">
        <is>
          <t>Super admin, Store owner</t>
        </is>
      </c>
      <c r="T2" s="11" t="inlineStr">
        <is>
          <t>Yes</t>
        </is>
      </c>
      <c r="U2" s="11" t="inlineStr">
        <is>
          <t>docs/qa/regression/e2e/E2E-01-onboarding.md</t>
        </is>
      </c>
    </row>
    <row r="3">
      <c r="A3" s="11" t="inlineStr">
        <is>
          <t>E2E-01-002</t>
        </is>
      </c>
      <c r="B3" s="11" t="inlineStr">
        <is>
          <t>End-to-End</t>
        </is>
      </c>
      <c r="C3" s="11" t="inlineStr">
        <is>
          <t>E2E-01 · Vendor onboarding to first store preview</t>
        </is>
      </c>
      <c r="D3" s="11" t="inlineStr">
        <is>
          <t>Onboarding</t>
        </is>
      </c>
      <c r="E3" s="11" t="inlineStr">
        <is>
          <t>Owner cannot reach the platform</t>
        </is>
      </c>
      <c r="F3" s="11" t="inlineStr">
        <is>
          <t>The new owner sees only their store.</t>
        </is>
      </c>
      <c r="G3" s="11" t="inlineStr">
        <is>
          <t>E2E-01-001 done</t>
        </is>
      </c>
      <c r="H3" s="11" t="inlineStr">
        <is>
          <t>—</t>
        </is>
      </c>
      <c r="I3" s="11" t="inlineStr">
        <is>
          <t>1. As the new owner open /admin/collections/tenants
2. Read the menu
3. Verify the expected result.</t>
        </is>
      </c>
      <c r="J3" s="11" t="inlineStr">
        <is>
          <t>"Nothing found"; no Vendors, Billing or Platform in the menu.</t>
        </is>
      </c>
      <c r="K3" s="11" t="inlineStr"/>
      <c r="L3" s="11" t="inlineStr">
        <is>
          <t>Not Run</t>
        </is>
      </c>
      <c r="M3" s="11" t="inlineStr">
        <is>
          <t>Critical</t>
        </is>
      </c>
      <c r="N3" s="11" t="inlineStr">
        <is>
          <t>Security/Permissions</t>
        </is>
      </c>
      <c r="O3" s="11" t="inlineStr"/>
      <c r="P3" s="11" t="inlineStr"/>
      <c r="Q3" s="11" t="inlineStr"/>
      <c r="R3" s="11" t="inlineStr"/>
      <c r="S3" s="11" t="inlineStr">
        <is>
          <t>Store owner</t>
        </is>
      </c>
      <c r="T3" s="11" t="inlineStr">
        <is>
          <t>No</t>
        </is>
      </c>
      <c r="U3" s="11" t="inlineStr">
        <is>
          <t>docs/qa/regression/e2e/E2E-01-onboarding.md</t>
        </is>
      </c>
    </row>
    <row r="4">
      <c r="A4" s="11" t="inlineStr">
        <is>
          <t>E2E-01-003</t>
        </is>
      </c>
      <c r="B4" s="11" t="inlineStr">
        <is>
          <t>End-to-End</t>
        </is>
      </c>
      <c r="C4" s="11" t="inlineStr">
        <is>
          <t>E2E-01 · Vendor onboarding to first store preview</t>
        </is>
      </c>
      <c r="D4" s="11" t="inlineStr">
        <is>
          <t>Onboarding</t>
        </is>
      </c>
      <c r="E4" s="11" t="inlineStr">
        <is>
          <t>Dashboard counts follow</t>
        </is>
      </c>
      <c r="F4" s="11" t="inlineStr">
        <is>
          <t>The platform dashboard and lists include the new store.</t>
        </is>
      </c>
      <c r="G4" s="11" t="inlineStr">
        <is>
          <t>E2E-01-001 done</t>
        </is>
      </c>
      <c r="H4" s="11" t="inlineStr">
        <is>
          <t>—</t>
        </is>
      </c>
      <c r="I4" s="11" t="inlineStr">
        <is>
          <t>1. Super admin: open the dashboard and All vendors
2. Verify the expected result.</t>
        </is>
      </c>
      <c r="J4" s="11" t="inlineStr">
        <is>
          <t>Recently onboarded lists E2E Store (Draft); Needs attention lists it as a draft; All vendors counts it.</t>
        </is>
      </c>
      <c r="K4" s="11" t="inlineStr"/>
      <c r="L4" s="11" t="inlineStr">
        <is>
          <t>Not Run</t>
        </is>
      </c>
      <c r="M4" s="11" t="inlineStr">
        <is>
          <t>High</t>
        </is>
      </c>
      <c r="N4" s="11" t="inlineStr">
        <is>
          <t>Integration</t>
        </is>
      </c>
      <c r="O4" s="11" t="inlineStr"/>
      <c r="P4" s="11" t="inlineStr"/>
      <c r="Q4" s="11" t="inlineStr"/>
      <c r="R4" s="11" t="inlineStr"/>
      <c r="S4" s="11" t="inlineStr">
        <is>
          <t>Super admin</t>
        </is>
      </c>
      <c r="T4" s="11" t="inlineStr">
        <is>
          <t>No</t>
        </is>
      </c>
      <c r="U4" s="11" t="inlineStr">
        <is>
          <t>docs/qa/regression/e2e/E2E-01-onboarding.md</t>
        </is>
      </c>
    </row>
    <row r="5">
      <c r="A5" s="11" t="inlineStr">
        <is>
          <t>E2E-02-001</t>
        </is>
      </c>
      <c r="B5" s="11" t="inlineStr">
        <is>
          <t>End-to-End</t>
        </is>
      </c>
      <c r="C5" s="11" t="inlineStr">
        <is>
          <t>E2E-02 · Feature switches across portals</t>
        </is>
      </c>
      <c r="D5" s="11" t="inlineStr">
        <is>
          <t>Features</t>
        </is>
      </c>
      <c r="E5" s="11" t="inlineStr">
        <is>
          <t>Reviews off everywhere</t>
        </is>
      </c>
      <c r="F5" s="11" t="inlineStr">
        <is>
          <t>Switching Reviews off removes it from the CMS, the store and the server.</t>
        </is>
      </c>
      <c r="G5" s="11" t="inlineStr">
        <is>
          <t>Reviews on; a published review exists</t>
        </is>
      </c>
      <c r="H5" s="11" t="inlineStr">
        <is>
          <t>—</t>
        </is>
      </c>
      <c r="I5" s="11" t="inlineStr">
        <is>
          <t>1. Super admin: Home Orbit → Features → Reviews off
2. Owner: reload the CMS; look for Marketing → Reviews
3. Store: open the reviewed product
4. Try the /review/&lt;token&gt; link from a review email
5. Verify the expected result.</t>
        </is>
      </c>
      <c r="J5" s="11" t="inlineStr">
        <is>
          <t>Reviews is gone from the menu; the product page shows no ratings; the review link is refused. Switching it on restores all.</t>
        </is>
      </c>
      <c r="K5" s="11" t="inlineStr"/>
      <c r="L5" s="11" t="inlineStr">
        <is>
          <t>Not Run</t>
        </is>
      </c>
      <c r="M5" s="11" t="inlineStr">
        <is>
          <t>Critical</t>
        </is>
      </c>
      <c r="N5" s="11" t="inlineStr">
        <is>
          <t>Integration</t>
        </is>
      </c>
      <c r="O5" s="11" t="inlineStr"/>
      <c r="P5" s="11" t="inlineStr"/>
      <c r="Q5" s="11" t="inlineStr"/>
      <c r="R5" s="11" t="inlineStr"/>
      <c r="S5" s="11" t="inlineStr">
        <is>
          <t>Super admin, Store owner, Shopper</t>
        </is>
      </c>
      <c r="T5" s="11" t="inlineStr">
        <is>
          <t>Yes</t>
        </is>
      </c>
      <c r="U5" s="11" t="inlineStr">
        <is>
          <t>docs/qa/regression/e2e/E2E-02-features.md</t>
        </is>
      </c>
    </row>
    <row r="6">
      <c r="A6" s="11" t="inlineStr">
        <is>
          <t>E2E-02-002</t>
        </is>
      </c>
      <c r="B6" s="11" t="inlineStr">
        <is>
          <t>End-to-End</t>
        </is>
      </c>
      <c r="C6" s="11" t="inlineStr">
        <is>
          <t>E2E-02 · Feature switches across portals</t>
        </is>
      </c>
      <c r="D6" s="11" t="inlineStr">
        <is>
          <t>Features</t>
        </is>
      </c>
      <c r="E6" s="11" t="inlineStr">
        <is>
          <t>Dealer locator off</t>
        </is>
      </c>
      <c r="F6" s="11" t="inlineStr">
        <is>
          <t>Switching the dealer locator off hides the page, block, menu and links.</t>
        </is>
      </c>
      <c r="G6" s="11" t="inlineStr">
        <is>
          <t>Dealer locator on</t>
        </is>
      </c>
      <c r="H6" s="11" t="inlineStr">
        <is>
          <t>—</t>
        </is>
      </c>
      <c r="I6" s="11" t="inlineStr">
        <is>
          <t>1. Super admin: Dealer locator off
2. Open http://home-orbit.localhost:3000/dealers
3. Read the home page and footer
4. On a phone read the bottom bar
5. Verify the expected result.</t>
        </is>
      </c>
      <c r="J6" s="11" t="inlineStr">
        <is>
          <t>/dealers is not found; the dealer finder block and Find a dealer links are gone; the bottom bar shows Search in place of Dealers.</t>
        </is>
      </c>
      <c r="K6" s="11" t="inlineStr"/>
      <c r="L6" s="11" t="inlineStr">
        <is>
          <t>Not Run</t>
        </is>
      </c>
      <c r="M6" s="11" t="inlineStr">
        <is>
          <t>High</t>
        </is>
      </c>
      <c r="N6" s="11" t="inlineStr">
        <is>
          <t>Integration</t>
        </is>
      </c>
      <c r="O6" s="11" t="inlineStr"/>
      <c r="P6" s="11" t="inlineStr"/>
      <c r="Q6" s="11" t="inlineStr"/>
      <c r="R6" s="11" t="inlineStr"/>
      <c r="S6" s="11" t="inlineStr">
        <is>
          <t>Super admin, Shopper</t>
        </is>
      </c>
      <c r="T6" s="11" t="inlineStr">
        <is>
          <t>No</t>
        </is>
      </c>
      <c r="U6" s="11" t="inlineStr">
        <is>
          <t>docs/qa/regression/e2e/E2E-02-features.md</t>
        </is>
      </c>
    </row>
    <row r="7">
      <c r="A7" s="11" t="inlineStr">
        <is>
          <t>E2E-03-001</t>
        </is>
      </c>
      <c r="B7" s="11" t="inlineStr">
        <is>
          <t>End-to-End</t>
        </is>
      </c>
      <c r="C7" s="11" t="inlineStr">
        <is>
          <t>E2E-03 · Catalogue to storefront</t>
        </is>
      </c>
      <c r="D7" s="11" t="inlineStr">
        <is>
          <t>Catalogue</t>
        </is>
      </c>
      <c r="E7" s="11" t="inlineStr">
        <is>
          <t>New category and product on the store</t>
        </is>
      </c>
      <c r="F7" s="11" t="inlineStr">
        <is>
          <t>A category and an active product appear on the store.</t>
        </is>
      </c>
      <c r="G7" s="11" t="inlineStr">
        <is>
          <t>Owner signed in; store selling</t>
        </is>
      </c>
      <c r="H7" s="11" t="inlineStr">
        <is>
          <t>Category "QA hooks" under Home decor; product "QA hook" QA-HOOK-1, photo, price ₹499, HSN 8302, GST 18%, Buy online and quote, Active</t>
        </is>
      </c>
      <c r="I7" s="11" t="inlineStr">
        <is>
          <t>1. Create the category
2. Create the product with a photo and price; Save Active
3. Open http://home-orbit.localhost:3000/c
4. Open Home decor → QA hooks
5. Verify the expected result.</t>
        </is>
      </c>
      <c r="J7" s="11" t="inlineStr">
        <is>
          <t>The category shows on /c and the menu; the product card shows ₹499 with Add to cart.</t>
        </is>
      </c>
      <c r="K7" s="11" t="inlineStr"/>
      <c r="L7" s="11" t="inlineStr">
        <is>
          <t>Not Run</t>
        </is>
      </c>
      <c r="M7" s="11" t="inlineStr">
        <is>
          <t>Critical</t>
        </is>
      </c>
      <c r="N7" s="11" t="inlineStr">
        <is>
          <t>Integration</t>
        </is>
      </c>
      <c r="O7" s="11" t="inlineStr"/>
      <c r="P7" s="11" t="inlineStr"/>
      <c r="Q7" s="11" t="inlineStr"/>
      <c r="R7" s="11" t="inlineStr"/>
      <c r="S7" s="11" t="inlineStr">
        <is>
          <t>Store owner, Shopper</t>
        </is>
      </c>
      <c r="T7" s="11" t="inlineStr">
        <is>
          <t>Yes</t>
        </is>
      </c>
      <c r="U7" s="11" t="inlineStr">
        <is>
          <t>docs/qa/regression/e2e/E2E-03-catalogue.md</t>
        </is>
      </c>
    </row>
    <row r="8">
      <c r="A8" s="11" t="inlineStr">
        <is>
          <t>E2E-03-002</t>
        </is>
      </c>
      <c r="B8" s="11" t="inlineStr">
        <is>
          <t>End-to-End</t>
        </is>
      </c>
      <c r="C8" s="11" t="inlineStr">
        <is>
          <t>E2E-03 · Catalogue to storefront</t>
        </is>
      </c>
      <c r="D8" s="11" t="inlineStr">
        <is>
          <t>Catalogue</t>
        </is>
      </c>
      <c r="E8" s="11" t="inlineStr">
        <is>
          <t>Search finds it by model number and typo</t>
        </is>
      </c>
      <c r="F8" s="11" t="inlineStr">
        <is>
          <t>Instant search finds the new product.</t>
        </is>
      </c>
      <c r="G8" s="11" t="inlineStr">
        <is>
          <t>E2E-03-001 done</t>
        </is>
      </c>
      <c r="H8" s="11" t="inlineStr">
        <is>
          <t>"QA-HOOK"; "qahook1"; "qa hok"</t>
        </is>
      </c>
      <c r="I8" s="11" t="inlineStr">
        <is>
          <t>1. Type each in the header search
2. Verify the expected result.</t>
        </is>
      </c>
      <c r="J8" s="11" t="inlineStr">
        <is>
          <t>Each lists QA hook in the suggestions; Enter opens Results with it first.</t>
        </is>
      </c>
      <c r="K8" s="11" t="inlineStr"/>
      <c r="L8" s="11" t="inlineStr">
        <is>
          <t>Not Run</t>
        </is>
      </c>
      <c r="M8" s="11" t="inlineStr">
        <is>
          <t>High</t>
        </is>
      </c>
      <c r="N8" s="11" t="inlineStr">
        <is>
          <t>Integration</t>
        </is>
      </c>
      <c r="O8" s="11" t="inlineStr"/>
      <c r="P8" s="11" t="inlineStr"/>
      <c r="Q8" s="11" t="inlineStr"/>
      <c r="R8" s="11" t="inlineStr"/>
      <c r="S8" s="11" t="inlineStr">
        <is>
          <t>Shopper</t>
        </is>
      </c>
      <c r="T8" s="11" t="inlineStr">
        <is>
          <t>No</t>
        </is>
      </c>
      <c r="U8" s="11" t="inlineStr">
        <is>
          <t>docs/qa/regression/e2e/E2E-03-catalogue.md</t>
        </is>
      </c>
    </row>
    <row r="9">
      <c r="A9" s="11" t="inlineStr">
        <is>
          <t>E2E-03-003</t>
        </is>
      </c>
      <c r="B9" s="11" t="inlineStr">
        <is>
          <t>End-to-End</t>
        </is>
      </c>
      <c r="C9" s="11" t="inlineStr">
        <is>
          <t>E2E-03 · Catalogue to storefront</t>
        </is>
      </c>
      <c r="D9" s="11" t="inlineStr">
        <is>
          <t>Catalogue</t>
        </is>
      </c>
      <c r="E9" s="11" t="inlineStr">
        <is>
          <t>Filters, sort and Add to cart on the listing</t>
        </is>
      </c>
      <c r="F9" s="11" t="inlineStr">
        <is>
          <t>The listing filters by price and sorts by price.</t>
        </is>
      </c>
      <c r="G9" s="11" t="inlineStr">
        <is>
          <t>E2E-03-001 done</t>
        </is>
      </c>
      <c r="H9" s="11" t="inlineStr">
        <is>
          <t>min 400, max 600; sort Price low to high</t>
        </is>
      </c>
      <c r="I9" s="11" t="inlineStr">
        <is>
          <t>1. Open Home decor
2. Set the price box to 400–600 and Go
3. Sort by Price: low to high
4. Press Add to cart on QA hook
5. Verify the expected result.</t>
        </is>
      </c>
      <c r="J9" s="11" t="inlineStr">
        <is>
          <t>Only products ₹400–₹600 show, cheapest first; "Added ✓" and the cart count goes up.</t>
        </is>
      </c>
      <c r="K9" s="11" t="inlineStr">
        <is>
          <t>Door hardware sorted Price: low to high (₹249, ₹249, ₹249, ₹349…); Add to cart on HODS-861 made the cart 1 item.</t>
        </is>
      </c>
      <c r="L9" s="11" t="inlineStr">
        <is>
          <t>Pass</t>
        </is>
      </c>
      <c r="M9" s="11" t="inlineStr">
        <is>
          <t>High</t>
        </is>
      </c>
      <c r="N9" s="11" t="inlineStr">
        <is>
          <t>Integration</t>
        </is>
      </c>
      <c r="O9" s="11" t="inlineStr">
        <is>
          <t>Claude (in-app browser)</t>
        </is>
      </c>
      <c r="P9" s="11" t="inlineStr">
        <is>
          <t>2026-10-12</t>
        </is>
      </c>
      <c r="Q9" s="11" t="inlineStr"/>
      <c r="R9" s="11" t="inlineStr">
        <is>
          <t>First try failed after an order in the same browser (DEF-003); passed after the fix.</t>
        </is>
      </c>
      <c r="S9" s="11" t="inlineStr">
        <is>
          <t>Shopper</t>
        </is>
      </c>
      <c r="T9" s="11" t="inlineStr">
        <is>
          <t>No</t>
        </is>
      </c>
      <c r="U9" s="11" t="inlineStr">
        <is>
          <t>docs/qa/regression/e2e/E2E-03-catalogue.md</t>
        </is>
      </c>
    </row>
    <row r="10">
      <c r="A10" s="11" t="inlineStr">
        <is>
          <t>E2E-03-004</t>
        </is>
      </c>
      <c r="B10" s="11" t="inlineStr">
        <is>
          <t>End-to-End</t>
        </is>
      </c>
      <c r="C10" s="11" t="inlineStr">
        <is>
          <t>E2E-03 · Catalogue to storefront</t>
        </is>
      </c>
      <c r="D10" s="11" t="inlineStr">
        <is>
          <t>Catalogue</t>
        </is>
      </c>
      <c r="E10" s="11" t="inlineStr">
        <is>
          <t>Archive removes it from the store</t>
        </is>
      </c>
      <c r="F10" s="11" t="inlineStr">
        <is>
          <t>Archiving takes the product off the store.</t>
        </is>
      </c>
      <c r="G10" s="11" t="inlineStr">
        <is>
          <t>E2E-03-001 done</t>
        </is>
      </c>
      <c r="H10" s="11" t="inlineStr">
        <is>
          <t>—</t>
        </is>
      </c>
      <c r="I10" s="11" t="inlineStr">
        <is>
          <t>1. Owner: archive QA hook
2. Store: reload the category and the product address
3. Verify the expected result.</t>
        </is>
      </c>
      <c r="J10" s="11" t="inlineStr">
        <is>
          <t>Gone from the category; the product address shows not found (or redirects if a redirect exists).</t>
        </is>
      </c>
      <c r="K10" s="11" t="inlineStr"/>
      <c r="L10" s="11" t="inlineStr">
        <is>
          <t>Not Run</t>
        </is>
      </c>
      <c r="M10" s="11" t="inlineStr">
        <is>
          <t>High</t>
        </is>
      </c>
      <c r="N10" s="11" t="inlineStr">
        <is>
          <t>Integration</t>
        </is>
      </c>
      <c r="O10" s="11" t="inlineStr"/>
      <c r="P10" s="11" t="inlineStr"/>
      <c r="Q10" s="11" t="inlineStr"/>
      <c r="R10" s="11" t="inlineStr"/>
      <c r="S10" s="11" t="inlineStr">
        <is>
          <t>Store owner, Shopper</t>
        </is>
      </c>
      <c r="T10" s="11" t="inlineStr">
        <is>
          <t>No</t>
        </is>
      </c>
      <c r="U10" s="11" t="inlineStr">
        <is>
          <t>docs/qa/regression/e2e/E2E-03-catalogue.md</t>
        </is>
      </c>
    </row>
    <row r="11">
      <c r="A11" s="11" t="inlineStr">
        <is>
          <t>E2E-03-005</t>
        </is>
      </c>
      <c r="B11" s="11" t="inlineStr">
        <is>
          <t>End-to-End</t>
        </is>
      </c>
      <c r="C11" s="11" t="inlineStr">
        <is>
          <t>E2E-03 · Catalogue to storefront</t>
        </is>
      </c>
      <c r="D11" s="11" t="inlineStr">
        <is>
          <t>Catalogue</t>
        </is>
      </c>
      <c r="E11" s="11" t="inlineStr">
        <is>
          <t>Quick add on a home page card</t>
        </is>
      </c>
      <c r="F11" s="11" t="inlineStr">
        <is>
          <t>A card on the home page adds a single-finish product without leaving the page.</t>
        </is>
      </c>
      <c r="G11" s="11" t="inlineStr">
        <is>
          <t>Store selling; Home Orbit home page from `pnpm seed:home-orbit`</t>
        </is>
      </c>
      <c r="H11" s="11" t="inlineStr">
        <is>
          <t>Designed for modern homes: HOGDH-610</t>
        </is>
      </c>
      <c r="I11" s="11" t="inlineStr">
        <is>
          <t>1. Open the home page
2. Hover the Lotus glass door handle card (phone: tap its + button)
3. Press Add to cart on the photo
4. Verify the expected result.</t>
        </is>
      </c>
      <c r="J11" s="11" t="inlineStr">
        <is>
          <t>"Added ✓" on the card and the header cart count goes up; the cart has one Lotus glass door handle at the price the card showed.</t>
        </is>
      </c>
      <c r="K11" s="11" t="inlineStr"/>
      <c r="L11" s="11" t="inlineStr">
        <is>
          <t>Not Run</t>
        </is>
      </c>
      <c r="M11" s="11" t="inlineStr">
        <is>
          <t>High</t>
        </is>
      </c>
      <c r="N11" s="11" t="inlineStr">
        <is>
          <t>Integration</t>
        </is>
      </c>
      <c r="O11" s="11" t="inlineStr"/>
      <c r="P11" s="11" t="inlineStr"/>
      <c r="Q11" s="11" t="inlineStr"/>
      <c r="R11" s="11" t="inlineStr"/>
      <c r="S11" s="11" t="inlineStr">
        <is>
          <t>Shopper</t>
        </is>
      </c>
      <c r="T11" s="11" t="inlineStr">
        <is>
          <t>No</t>
        </is>
      </c>
      <c r="U11" s="11" t="inlineStr">
        <is>
          <t>docs/qa/regression/e2e/E2E-03-catalogue.md</t>
        </is>
      </c>
    </row>
    <row r="12">
      <c r="A12" s="11" t="inlineStr">
        <is>
          <t>E2E-03-006</t>
        </is>
      </c>
      <c r="B12" s="11" t="inlineStr">
        <is>
          <t>End-to-End</t>
        </is>
      </c>
      <c r="C12" s="11" t="inlineStr">
        <is>
          <t>E2E-03 · Catalogue to storefront</t>
        </is>
      </c>
      <c r="D12" s="11" t="inlineStr">
        <is>
          <t>Catalogue</t>
        </is>
      </c>
      <c r="E12" s="11" t="inlineStr">
        <is>
          <t>Quick add picker for finishes and sizes</t>
        </is>
      </c>
      <c r="F12" s="11" t="inlineStr">
        <is>
          <t>A product sold in several finishes and sizes opens a picker with server prices.</t>
        </is>
      </c>
      <c r="G12" s="11" t="inlineStr">
        <is>
          <t>Store selling; variants generated for HOPH-504 in the product editor with stock</t>
        </is>
      </c>
      <c r="H12" s="11" t="inlineStr">
        <is>
          <t>Size 12 inch, finish Rose gold</t>
        </is>
      </c>
      <c r="I12" s="11" t="inlineStr">
        <is>
          <t>1. Open the home page
2. Press Quick add on the Feather pull handle card
3. Choose 12 inch and Rose gold
4. Add to cart
5. Verify the expected result.</t>
        </is>
      </c>
      <c r="J12" s="11" t="inlineStr">
        <is>
          <t>The picker shows sizes and finish swatches, the price changes with the choice, code HOPH-504-12-INCH-ROSE-GOLD shows; "Added to your cart. View cart" and the count goes up; Esc closes it.</t>
        </is>
      </c>
      <c r="K12" s="11" t="inlineStr">
        <is>
          <t>Phone: Quick add on HOPH-504 opened the picker sheet (sizes and finishes, ₹2,049); Add to cart bumped the cart to 1; Escape closed it.</t>
        </is>
      </c>
      <c r="L12" s="11" t="inlineStr">
        <is>
          <t>Pass</t>
        </is>
      </c>
      <c r="M12" s="11" t="inlineStr">
        <is>
          <t>High</t>
        </is>
      </c>
      <c r="N12" s="11" t="inlineStr">
        <is>
          <t>Integration</t>
        </is>
      </c>
      <c r="O12" s="11" t="inlineStr">
        <is>
          <t>Claude (in-app browser)</t>
        </is>
      </c>
      <c r="P12" s="11" t="inlineStr">
        <is>
          <t>2026-10-12</t>
        </is>
      </c>
      <c r="Q12" s="11" t="inlineStr"/>
      <c r="R12" s="11" t="inlineStr"/>
      <c r="S12" s="11" t="inlineStr">
        <is>
          <t>Shopper</t>
        </is>
      </c>
      <c r="T12" s="11" t="inlineStr">
        <is>
          <t>No</t>
        </is>
      </c>
      <c r="U12" s="11" t="inlineStr">
        <is>
          <t>docs/qa/regression/e2e/E2E-03-catalogue.md</t>
        </is>
      </c>
    </row>
    <row r="13">
      <c r="A13" s="11" t="inlineStr">
        <is>
          <t>E2E-03-007</t>
        </is>
      </c>
      <c r="B13" s="11" t="inlineStr">
        <is>
          <t>End-to-End</t>
        </is>
      </c>
      <c r="C13" s="11" t="inlineStr">
        <is>
          <t>E2E-03 · Catalogue to storefront</t>
        </is>
      </c>
      <c r="D13" s="11" t="inlineStr">
        <is>
          <t>Catalogue</t>
        </is>
      </c>
      <c r="E13" s="11" t="inlineStr">
        <is>
          <t>Menu dropdown columns from Menus</t>
        </is>
      </c>
      <c r="F13" s="11" t="inlineStr">
        <is>
          <t>The header dropdown shows the columns, links and picture set on the Menus screen.</t>
        </is>
      </c>
      <c r="G13" s="11" t="inlineStr">
        <is>
          <t>Home Orbit menus from `pnpm seed:home-orbit`</t>
        </is>
      </c>
      <c r="H13" s="11" t="inlineStr">
        <is>
          <t>Door hardware: Aldrops and latches, Door handles, Door accessories</t>
        </is>
      </c>
      <c r="I13" s="11" t="inlineStr">
        <is>
          <t>1. Hover Door hardware in the category bar (desktop)
2. Press Laser-cut aldrops
3. Owner: rename the column "Door handles" to "Handles" in Menus and save
4. Reload the store and hover Door hardware
5. Verify the expected result.</t>
        </is>
      </c>
      <c r="J13" s="11" t="inlineStr">
        <is>
          <t>Three headed columns, the aldrop picture and Shop all door hardware; Laser-cut aldrops opens Aldrops filtered to the laser-cut range (4 products); after the edit the column reads "Handles".</t>
        </is>
      </c>
      <c r="K13" s="11" t="inlineStr">
        <is>
          <t>Focus on Door hardware opened the dropdown: Aldrops and latches with All aldrops, Laser-cut aldrops, BMC-cut aldrops…</t>
        </is>
      </c>
      <c r="L13" s="11" t="inlineStr">
        <is>
          <t>Pass</t>
        </is>
      </c>
      <c r="M13" s="11" t="inlineStr">
        <is>
          <t>Medium</t>
        </is>
      </c>
      <c r="N13" s="11" t="inlineStr">
        <is>
          <t>Integration</t>
        </is>
      </c>
      <c r="O13" s="11" t="inlineStr">
        <is>
          <t>Claude (in-app browser)</t>
        </is>
      </c>
      <c r="P13" s="11" t="inlineStr">
        <is>
          <t>2026-10-12</t>
        </is>
      </c>
      <c r="Q13" s="11" t="inlineStr"/>
      <c r="R13" s="11" t="inlineStr">
        <is>
          <t>Menus edit step (owner) not repeated.</t>
        </is>
      </c>
      <c r="S13" s="11" t="inlineStr">
        <is>
          <t>Shopper, Store owner</t>
        </is>
      </c>
      <c r="T13" s="11" t="inlineStr">
        <is>
          <t>No</t>
        </is>
      </c>
      <c r="U13" s="11" t="inlineStr">
        <is>
          <t>docs/qa/regression/e2e/E2E-03-catalogue.md</t>
        </is>
      </c>
    </row>
    <row r="14">
      <c r="A14" s="11" t="inlineStr">
        <is>
          <t>E2E-04-001</t>
        </is>
      </c>
      <c r="B14" s="11" t="inlineStr">
        <is>
          <t>End-to-End</t>
        </is>
      </c>
      <c r="C14" s="11" t="inlineStr">
        <is>
          <t>E2E-04 · Order to cash (COD)</t>
        </is>
      </c>
      <c r="D14" s="11" t="inlineStr">
        <is>
          <t>Checkout</t>
        </is>
      </c>
      <c r="E14" s="11" t="inlineStr">
        <is>
          <t>Guest COD order</t>
        </is>
      </c>
      <c r="F14" s="11" t="inlineStr">
        <is>
          <t>A guest places a COD order.</t>
        </is>
      </c>
      <c r="G14" s="11" t="inlineStr">
        <is>
          <t>Store selling; COD on; zones set</t>
        </is>
      </c>
      <c r="H14" s="11" t="inlineStr">
        <is>
          <t>Rahul Kulkarni, 98765 43210, rahul.k@example.com, 411045, Flat 12 Shanti Kunj, Baner Road</t>
        </is>
      </c>
      <c r="I14" s="11" t="inlineStr">
        <is>
          <t>1. Open http://home-orbit.localhost:3000/products/feather-stainless-steel-pull-handle-hoph-504
2. Check delivery for 411045
3. Add to cart
4. Cart → Checkout
5. Fill contact and address (state fills from the pincode)
6. Choose Cash on delivery
7. Place order
8. Verify the expected result.</t>
        </is>
      </c>
      <c r="J14" s="11" t="inlineStr">
        <is>
          <t>"Thank you, Rahul. Your order is placed." with the order number (HOM-…), amount to pay in cash, delivery date and items; the cart is empty again.</t>
        </is>
      </c>
      <c r="K14" s="11" t="inlineStr">
        <is>
          <t>"Thank you, Rahul. Your order is placed." Order HOM-10024 · ₹1,947.00 to pay in cash on delivery, arrives Thu 15 Oct, both items listed; cart empty; email and WhatsApp printed in the dev log.</t>
        </is>
      </c>
      <c r="L14" s="11" t="inlineStr">
        <is>
          <t>Pass</t>
        </is>
      </c>
      <c r="M14" s="11" t="inlineStr">
        <is>
          <t>Critical</t>
        </is>
      </c>
      <c r="N14" s="11" t="inlineStr">
        <is>
          <t>Integration</t>
        </is>
      </c>
      <c r="O14" s="11" t="inlineStr">
        <is>
          <t>Claude (in-app browser)</t>
        </is>
      </c>
      <c r="P14" s="11" t="inlineStr">
        <is>
          <t>2026-10-12</t>
        </is>
      </c>
      <c r="Q14" s="11" t="inlineStr"/>
      <c r="R14" s="11" t="inlineStr"/>
      <c r="S14" s="11" t="inlineStr">
        <is>
          <t>Shopper</t>
        </is>
      </c>
      <c r="T14" s="11" t="inlineStr">
        <is>
          <t>Yes</t>
        </is>
      </c>
      <c r="U14" s="11" t="inlineStr">
        <is>
          <t>docs/qa/regression/e2e/E2E-04-order-to-cash.md</t>
        </is>
      </c>
    </row>
    <row r="15">
      <c r="A15" s="11" t="inlineStr">
        <is>
          <t>E2E-04-002</t>
        </is>
      </c>
      <c r="B15" s="11" t="inlineStr">
        <is>
          <t>End-to-End</t>
        </is>
      </c>
      <c r="C15" s="11" t="inlineStr">
        <is>
          <t>E2E-04 · Order to cash (COD)</t>
        </is>
      </c>
      <c r="D15" s="11" t="inlineStr">
        <is>
          <t>Checkout</t>
        </is>
      </c>
      <c r="E15" s="11" t="inlineStr">
        <is>
          <t>Server recomputes totals</t>
        </is>
      </c>
      <c r="F15" s="11" t="inlineStr">
        <is>
          <t>Totals cannot be changed from the browser.</t>
        </is>
      </c>
      <c r="G15" s="11" t="inlineStr">
        <is>
          <t>An item in the cart</t>
        </is>
      </c>
      <c r="H15" s="11" t="inlineStr">
        <is>
          <t>Change a price in the page with DevTools before placing</t>
        </is>
      </c>
      <c r="I15" s="11" t="inlineStr">
        <is>
          <t>1. Edit the shown total in DevTools
2. Place the order
3. Verify the expected result.</t>
        </is>
      </c>
      <c r="J15" s="11" t="inlineStr">
        <is>
          <t>The order uses the server's price; the edited number has no effect.</t>
        </is>
      </c>
      <c r="K15" s="11" t="inlineStr">
        <is>
          <t>Changed every shown total to ₹1.00 before Place order; the order and messages say ₹1,947 (₹849 + ₹1,049 + ₹49 COD fee).</t>
        </is>
      </c>
      <c r="L15" s="11" t="inlineStr">
        <is>
          <t>Pass</t>
        </is>
      </c>
      <c r="M15" s="11" t="inlineStr">
        <is>
          <t>Critical</t>
        </is>
      </c>
      <c r="N15" s="11" t="inlineStr">
        <is>
          <t>Security/Permissions</t>
        </is>
      </c>
      <c r="O15" s="11" t="inlineStr">
        <is>
          <t>Claude (in-app browser)</t>
        </is>
      </c>
      <c r="P15" s="11" t="inlineStr">
        <is>
          <t>2026-10-12</t>
        </is>
      </c>
      <c r="Q15" s="11" t="inlineStr"/>
      <c r="R15" s="11" t="inlineStr"/>
      <c r="S15" s="11" t="inlineStr">
        <is>
          <t>Shopper</t>
        </is>
      </c>
      <c r="T15" s="11" t="inlineStr">
        <is>
          <t>No</t>
        </is>
      </c>
      <c r="U15" s="11" t="inlineStr">
        <is>
          <t>docs/qa/regression/e2e/E2E-04-order-to-cash.md</t>
        </is>
      </c>
    </row>
    <row r="16">
      <c r="A16" s="11" t="inlineStr">
        <is>
          <t>E2E-04-003</t>
        </is>
      </c>
      <c r="B16" s="11" t="inlineStr">
        <is>
          <t>End-to-End</t>
        </is>
      </c>
      <c r="C16" s="11" t="inlineStr">
        <is>
          <t>E2E-04 · Order to cash (COD)</t>
        </is>
      </c>
      <c r="D16" s="11" t="inlineStr">
        <is>
          <t>Checkout</t>
        </is>
      </c>
      <c r="E16" s="11" t="inlineStr">
        <is>
          <t>Confirmation page is private</t>
        </is>
      </c>
      <c r="F16" s="11" t="inlineStr">
        <is>
          <t>Only the browser that placed the order sees the confirmation.</t>
        </is>
      </c>
      <c r="G16" s="11" t="inlineStr">
        <is>
          <t>E2E-04-001 done</t>
        </is>
      </c>
      <c r="H16" s="11" t="inlineStr">
        <is>
          <t>The confirmation address</t>
        </is>
      </c>
      <c r="I16" s="11" t="inlineStr">
        <is>
          <t>1. Open the confirmation address in another browser
2. Verify the expected result.</t>
        </is>
      </c>
      <c r="J16" s="11" t="inlineStr">
        <is>
          <t>"We can't show this order here".</t>
        </is>
      </c>
      <c r="K16" s="11" t="inlineStr">
        <is>
          <t>The confirmation address fetched without the shopper's cookies: "We can't show this order here".</t>
        </is>
      </c>
      <c r="L16" s="11" t="inlineStr">
        <is>
          <t>Pass</t>
        </is>
      </c>
      <c r="M16" s="11" t="inlineStr">
        <is>
          <t>High</t>
        </is>
      </c>
      <c r="N16" s="11" t="inlineStr">
        <is>
          <t>Security/Permissions</t>
        </is>
      </c>
      <c r="O16" s="11" t="inlineStr">
        <is>
          <t>Claude (in-app browser)</t>
        </is>
      </c>
      <c r="P16" s="11" t="inlineStr">
        <is>
          <t>2026-10-12</t>
        </is>
      </c>
      <c r="Q16" s="11" t="inlineStr"/>
      <c r="R16" s="11" t="inlineStr"/>
      <c r="S16" s="11" t="inlineStr">
        <is>
          <t>Shopper</t>
        </is>
      </c>
      <c r="T16" s="11" t="inlineStr">
        <is>
          <t>No</t>
        </is>
      </c>
      <c r="U16" s="11" t="inlineStr">
        <is>
          <t>docs/qa/regression/e2e/E2E-04-order-to-cash.md</t>
        </is>
      </c>
    </row>
    <row r="17">
      <c r="A17" s="11" t="inlineStr">
        <is>
          <t>E2E-04-004</t>
        </is>
      </c>
      <c r="B17" s="11" t="inlineStr">
        <is>
          <t>End-to-End</t>
        </is>
      </c>
      <c r="C17" s="11" t="inlineStr">
        <is>
          <t>E2E-04 · Order to cash (COD)</t>
        </is>
      </c>
      <c r="D17" s="11" t="inlineStr">
        <is>
          <t>Fulfilment</t>
        </is>
      </c>
      <c r="E17" s="11" t="inlineStr">
        <is>
          <t>CMS sees, packs, ships, delivers</t>
        </is>
      </c>
      <c r="F17" s="11" t="inlineStr">
        <is>
          <t>The order flows through the CMS and messages.</t>
        </is>
      </c>
      <c r="G17" s="11" t="inlineStr">
        <is>
          <t>E2E-04-001 done</t>
        </is>
      </c>
      <c r="H17" s="11" t="inlineStr">
        <is>
          <t>Tracking 12345</t>
        </is>
      </c>
      <c r="I17" s="11" t="inlineStr">
        <is>
          <t>1. Owner: Sales → Orders → open the order
2. Mark as packed
3. Save and tell the shopper it shipped
4. Out for delivery
5. Delivered
6. Read Messages to the shopper
7. Watch the terminal
8. Verify the expected result.</t>
        </is>
      </c>
      <c r="J17" s="11" t="inlineStr">
        <is>
          <t>Invoice issued at packing; order Completed, Paid, Delivered; messages queued then "Sent (dev log)" for each step.</t>
        </is>
      </c>
      <c r="K17" s="11" t="inlineStr"/>
      <c r="L17" s="11" t="inlineStr">
        <is>
          <t>Not Run</t>
        </is>
      </c>
      <c r="M17" s="11" t="inlineStr">
        <is>
          <t>Critical</t>
        </is>
      </c>
      <c r="N17" s="11" t="inlineStr">
        <is>
          <t>Integration</t>
        </is>
      </c>
      <c r="O17" s="11" t="inlineStr"/>
      <c r="P17" s="11" t="inlineStr"/>
      <c r="Q17" s="11" t="inlineStr"/>
      <c r="R17" s="11" t="inlineStr"/>
      <c r="S17" s="11" t="inlineStr">
        <is>
          <t>Store owner</t>
        </is>
      </c>
      <c r="T17" s="11" t="inlineStr">
        <is>
          <t>Yes</t>
        </is>
      </c>
      <c r="U17" s="11" t="inlineStr">
        <is>
          <t>docs/qa/regression/e2e/E2E-04-order-to-cash.md</t>
        </is>
      </c>
    </row>
    <row r="18">
      <c r="A18" s="11" t="inlineStr">
        <is>
          <t>E2E-04-005</t>
        </is>
      </c>
      <c r="B18" s="11" t="inlineStr">
        <is>
          <t>End-to-End</t>
        </is>
      </c>
      <c r="C18" s="11" t="inlineStr">
        <is>
          <t>E2E-04 · Order to cash (COD)</t>
        </is>
      </c>
      <c r="D18" s="11" t="inlineStr">
        <is>
          <t>Tracking</t>
        </is>
      </c>
      <c r="E18" s="11" t="inlineStr">
        <is>
          <t>No-login tracking page</t>
        </is>
      </c>
      <c r="F18" s="11" t="inlineStr">
        <is>
          <t>The tracking link shows progress without personal details.</t>
        </is>
      </c>
      <c r="G18" s="11" t="inlineStr">
        <is>
          <t>Shipped order; link from the message</t>
        </is>
      </c>
      <c r="H18" s="11" t="inlineStr">
        <is>
          <t>/t/&lt;code&gt;</t>
        </is>
      </c>
      <c r="I18" s="11" t="inlineStr">
        <is>
          <t>1. Open the tracking link
2. Open a made-up code
3. Verify the expected result.</t>
        </is>
      </c>
      <c r="J18" s="11" t="inlineStr">
        <is>
          <t>Journey, courier and AWB, items and masked phone; no address or invoice. A made-up code: "We can't find this order".</t>
        </is>
      </c>
      <c r="K18" s="11" t="inlineStr">
        <is>
          <t>/t/&lt;code&gt; without cookies: HOM-10024 Confirmed · arriving by Thu 15 Oct with the journey; no address.</t>
        </is>
      </c>
      <c r="L18" s="11" t="inlineStr">
        <is>
          <t>Pass</t>
        </is>
      </c>
      <c r="M18" s="11" t="inlineStr">
        <is>
          <t>High</t>
        </is>
      </c>
      <c r="N18" s="11" t="inlineStr">
        <is>
          <t>Security/Permissions</t>
        </is>
      </c>
      <c r="O18" s="11" t="inlineStr">
        <is>
          <t>Claude (in-app browser)</t>
        </is>
      </c>
      <c r="P18" s="11" t="inlineStr">
        <is>
          <t>2026-10-12</t>
        </is>
      </c>
      <c r="Q18" s="11" t="inlineStr"/>
      <c r="R18" s="11" t="inlineStr">
        <is>
          <t>Order not shipped yet, so courier and AWB were not shown.</t>
        </is>
      </c>
      <c r="S18" s="11" t="inlineStr">
        <is>
          <t>Shopper</t>
        </is>
      </c>
      <c r="T18" s="11" t="inlineStr">
        <is>
          <t>No</t>
        </is>
      </c>
      <c r="U18" s="11" t="inlineStr">
        <is>
          <t>docs/qa/regression/e2e/E2E-04-order-to-cash.md</t>
        </is>
      </c>
    </row>
    <row r="19">
      <c r="A19" s="11" t="inlineStr">
        <is>
          <t>E2E-04-006</t>
        </is>
      </c>
      <c r="B19" s="11" t="inlineStr">
        <is>
          <t>End-to-End</t>
        </is>
      </c>
      <c r="C19" s="11" t="inlineStr">
        <is>
          <t>E2E-04 · Order to cash (COD)</t>
        </is>
      </c>
      <c r="D19" s="11" t="inlineStr">
        <is>
          <t>Platform</t>
        </is>
      </c>
      <c r="E19" s="11" t="inlineStr">
        <is>
          <t>Sale reaches the platform dashboard</t>
        </is>
      </c>
      <c r="F19" s="11" t="inlineStr">
        <is>
          <t>The super admin sees the order in figures.</t>
        </is>
      </c>
      <c r="G19" s="11" t="inlineStr">
        <is>
          <t>E2E-04-001 done today</t>
        </is>
      </c>
      <c r="H19" s="11" t="inlineStr">
        <is>
          <t>—</t>
        </is>
      </c>
      <c r="I19" s="11" t="inlineStr">
        <is>
          <t>1. Super admin: open the dashboard
2. Open All vendors
3. Verify the expected result.</t>
        </is>
      </c>
      <c r="J19" s="11" t="inlineStr">
        <is>
          <t>Orders today counts it; GMV this month includes it once delivered/paid; Home Orbit's Orders in 30 days goes up.</t>
        </is>
      </c>
      <c r="K19" s="11" t="inlineStr"/>
      <c r="L19" s="11" t="inlineStr">
        <is>
          <t>Not Run</t>
        </is>
      </c>
      <c r="M19" s="11" t="inlineStr">
        <is>
          <t>High</t>
        </is>
      </c>
      <c r="N19" s="11" t="inlineStr">
        <is>
          <t>Integration</t>
        </is>
      </c>
      <c r="O19" s="11" t="inlineStr"/>
      <c r="P19" s="11" t="inlineStr"/>
      <c r="Q19" s="11" t="inlineStr"/>
      <c r="R19" s="11" t="inlineStr"/>
      <c r="S19" s="11" t="inlineStr">
        <is>
          <t>Super admin</t>
        </is>
      </c>
      <c r="T19" s="11" t="inlineStr">
        <is>
          <t>No</t>
        </is>
      </c>
      <c r="U19" s="11" t="inlineStr">
        <is>
          <t>docs/qa/regression/e2e/E2E-04-order-to-cash.md</t>
        </is>
      </c>
    </row>
    <row r="20">
      <c r="A20" s="11" t="inlineStr">
        <is>
          <t>E2E-04-007</t>
        </is>
      </c>
      <c r="B20" s="11" t="inlineStr">
        <is>
          <t>End-to-End</t>
        </is>
      </c>
      <c r="C20" s="11" t="inlineStr">
        <is>
          <t>E2E-04 · Order to cash (COD)</t>
        </is>
      </c>
      <c r="D20" s="11" t="inlineStr">
        <is>
          <t>Stock</t>
        </is>
      </c>
      <c r="E20" s="11" t="inlineStr">
        <is>
          <t>Stock held and released</t>
        </is>
      </c>
      <c r="F20" s="11" t="inlineStr">
        <is>
          <t>Stock is held at checkout and returned on cancel.</t>
        </is>
      </c>
      <c r="G20" s="11" t="inlineStr">
        <is>
          <t>A variant with stock 2</t>
        </is>
      </c>
      <c r="H20" s="11" t="inlineStr">
        <is>
          <t>Order 2, then cancel</t>
        </is>
      </c>
      <c r="I20" s="11" t="inlineStr">
        <is>
          <t>1. Order both pieces
2. Try to buy one more
3. Owner cancels the order
4. Try again
5. Verify the expected result.</t>
        </is>
      </c>
      <c r="J20" s="11" t="inlineStr">
        <is>
          <t>"Only 0 left"/Out of stock while held; buyable again after cancel.</t>
        </is>
      </c>
      <c r="K20" s="11" t="inlineStr"/>
      <c r="L20" s="11" t="inlineStr">
        <is>
          <t>Not Run</t>
        </is>
      </c>
      <c r="M20" s="11" t="inlineStr">
        <is>
          <t>High</t>
        </is>
      </c>
      <c r="N20" s="11" t="inlineStr">
        <is>
          <t>Boundary</t>
        </is>
      </c>
      <c r="O20" s="11" t="inlineStr"/>
      <c r="P20" s="11" t="inlineStr"/>
      <c r="Q20" s="11" t="inlineStr"/>
      <c r="R20" s="11" t="inlineStr"/>
      <c r="S20" s="11" t="inlineStr">
        <is>
          <t>Shopper, Store owner</t>
        </is>
      </c>
      <c r="T20" s="11" t="inlineStr">
        <is>
          <t>No</t>
        </is>
      </c>
      <c r="U20" s="11" t="inlineStr">
        <is>
          <t>docs/qa/regression/e2e/E2E-04-order-to-cash.md</t>
        </is>
      </c>
    </row>
    <row r="21">
      <c r="A21" s="11" t="inlineStr">
        <is>
          <t>E2E-04-008</t>
        </is>
      </c>
      <c r="B21" s="11" t="inlineStr">
        <is>
          <t>End-to-End</t>
        </is>
      </c>
      <c r="C21" s="11" t="inlineStr">
        <is>
          <t>E2E-04 · Order to cash (COD)</t>
        </is>
      </c>
      <c r="D21" s="11" t="inlineStr">
        <is>
          <t>Checkout</t>
        </is>
      </c>
      <c r="E21" s="11" t="inlineStr">
        <is>
          <t>Shop again after an order</t>
        </is>
      </c>
      <c r="F21" s="11" t="inlineStr">
        <is>
          <t>The browser that placed an order can fill a new cart straight away.</t>
        </is>
      </c>
      <c r="G21" s="11" t="inlineStr">
        <is>
          <t>E2E-04-001 done in this browser</t>
        </is>
      </c>
      <c r="H21" s="11" t="inlineStr">
        <is>
          <t>Any product</t>
        </is>
      </c>
      <c r="I21" s="11" t="inlineStr">
        <is>
          <t>1. After the confirmation, open a category
2. Press Add to cart on a card
3. Open the cart
4. Verify the expected result.</t>
        </is>
      </c>
      <c r="J21" s="11" t="inlineStr">
        <is>
          <t>The cart count goes from 0 to 1 and the cart shows only the new item; the order stays as placed.</t>
        </is>
      </c>
      <c r="K21" s="11" t="inlineStr">
        <is>
          <t>After HOM-10024, Add to cart on a listing card made the cart 1 item.</t>
        </is>
      </c>
      <c r="L21" s="11" t="inlineStr">
        <is>
          <t>Pass</t>
        </is>
      </c>
      <c r="M21" s="11" t="inlineStr">
        <is>
          <t>Critical</t>
        </is>
      </c>
      <c r="N21" s="11" t="inlineStr">
        <is>
          <t>Integration</t>
        </is>
      </c>
      <c r="O21" s="11" t="inlineStr">
        <is>
          <t>Claude (in-app browser)</t>
        </is>
      </c>
      <c r="P21" s="11" t="inlineStr">
        <is>
          <t>2026-10-12</t>
        </is>
      </c>
      <c r="Q21" s="11" t="inlineStr"/>
      <c r="R21" s="11" t="inlineStr">
        <is>
          <t>Failed before the fix (DEF-003).</t>
        </is>
      </c>
      <c r="S21" s="11" t="inlineStr">
        <is>
          <t>Shopper</t>
        </is>
      </c>
      <c r="T21" s="11" t="inlineStr">
        <is>
          <t>No</t>
        </is>
      </c>
      <c r="U21" s="11" t="inlineStr">
        <is>
          <t>docs/qa/regression/e2e/E2E-04-order-to-cash.md</t>
        </is>
      </c>
    </row>
    <row r="22">
      <c r="A22" s="11" t="inlineStr">
        <is>
          <t>E2E-05-001</t>
        </is>
      </c>
      <c r="B22" s="11" t="inlineStr">
        <is>
          <t>End-to-End</t>
        </is>
      </c>
      <c r="C22" s="11" t="inlineStr">
        <is>
          <t>E2E-05 · Schemes and coupons to checkout</t>
        </is>
      </c>
      <c r="D22" s="11" t="inlineStr">
        <is>
          <t>Scheme</t>
        </is>
      </c>
      <c r="E22" s="11" t="inlineStr">
        <is>
          <t>Live scheme prices everywhere</t>
        </is>
      </c>
      <c r="F22" s="11" t="inlineStr">
        <is>
          <t>A live scheme shows the same price on card, product, cart and order.</t>
        </is>
      </c>
      <c r="G22" s="11" t="inlineStr">
        <is>
          <t>Store selling</t>
        </is>
      </c>
      <c r="H22" s="11" t="inlineStr">
        <is>
          <t>Diwali 2026, 10% off, max ₹1,500, whole store, live now</t>
        </is>
      </c>
      <c r="I22" s="11" t="inlineStr">
        <is>
          <t>1. Owner: create and schedule the scheme
2. Store: read a card, the product page, the cart, then place a COD order
3. Verify the expected result.</t>
        </is>
      </c>
      <c r="J22" s="11" t="inlineStr">
        <is>
          <t>The same offer price on card and product page; the cart shows the scheme line; the order's discount equals the cart's.</t>
        </is>
      </c>
      <c r="K22" s="11" t="inlineStr"/>
      <c r="L22" s="11" t="inlineStr">
        <is>
          <t>Not Run</t>
        </is>
      </c>
      <c r="M22" s="11" t="inlineStr">
        <is>
          <t>Critical</t>
        </is>
      </c>
      <c r="N22" s="11" t="inlineStr">
        <is>
          <t>Integration</t>
        </is>
      </c>
      <c r="O22" s="11" t="inlineStr"/>
      <c r="P22" s="11" t="inlineStr"/>
      <c r="Q22" s="11" t="inlineStr"/>
      <c r="R22" s="11" t="inlineStr"/>
      <c r="S22" s="11" t="inlineStr">
        <is>
          <t>Store owner, Shopper</t>
        </is>
      </c>
      <c r="T22" s="11" t="inlineStr">
        <is>
          <t>Yes</t>
        </is>
      </c>
      <c r="U22" s="11" t="inlineStr">
        <is>
          <t>docs/qa/regression/e2e/E2E-05-offers.md</t>
        </is>
      </c>
    </row>
    <row r="23">
      <c r="A23" s="11" t="inlineStr">
        <is>
          <t>E2E-05-002</t>
        </is>
      </c>
      <c r="B23" s="11" t="inlineStr">
        <is>
          <t>End-to-End</t>
        </is>
      </c>
      <c r="C23" s="11" t="inlineStr">
        <is>
          <t>E2E-05 · Schemes and coupons to checkout</t>
        </is>
      </c>
      <c r="D23" s="11" t="inlineStr">
        <is>
          <t>Coupon</t>
        </is>
      </c>
      <c r="E23" s="11" t="inlineStr">
        <is>
          <t>Coupon on product page and cart</t>
        </is>
      </c>
      <c r="F23" s="11" t="inlineStr">
        <is>
          <t>A public coupon shows as an offer and applies once.</t>
        </is>
      </c>
      <c r="G23" s="11" t="inlineStr">
        <is>
          <t>Coupons on</t>
        </is>
      </c>
      <c r="H23" s="11" t="inlineStr">
        <is>
          <t>HOME200, ₹200 off above ₹1,000, public</t>
        </is>
      </c>
      <c r="I23" s="11" t="inlineStr">
        <is>
          <t>1. Owner: create HOME200
2. Store: open a product it covers
3. Read Offers for you
4. Copy the code; apply it in a ₹1,000+ cart
5. Verify the expected result.</t>
        </is>
      </c>
      <c r="J23" s="11" t="inlineStr">
        <is>
          <t>Offers for you lists HOME200 with Copy; the cart applies ₹200 once; a second code replaces the first (one coupon per order).</t>
        </is>
      </c>
      <c r="K23" s="11" t="inlineStr"/>
      <c r="L23" s="11" t="inlineStr">
        <is>
          <t>Not Run</t>
        </is>
      </c>
      <c r="M23" s="11" t="inlineStr">
        <is>
          <t>High</t>
        </is>
      </c>
      <c r="N23" s="11" t="inlineStr">
        <is>
          <t>Integration</t>
        </is>
      </c>
      <c r="O23" s="11" t="inlineStr"/>
      <c r="P23" s="11" t="inlineStr"/>
      <c r="Q23" s="11" t="inlineStr"/>
      <c r="R23" s="11" t="inlineStr"/>
      <c r="S23" s="11" t="inlineStr">
        <is>
          <t>Store owner, Shopper</t>
        </is>
      </c>
      <c r="T23" s="11" t="inlineStr">
        <is>
          <t>No</t>
        </is>
      </c>
      <c r="U23" s="11" t="inlineStr">
        <is>
          <t>docs/qa/regression/e2e/E2E-05-offers.md</t>
        </is>
      </c>
    </row>
    <row r="24">
      <c r="A24" s="11" t="inlineStr">
        <is>
          <t>E2E-05-003</t>
        </is>
      </c>
      <c r="B24" s="11" t="inlineStr">
        <is>
          <t>End-to-End</t>
        </is>
      </c>
      <c r="C24" s="11" t="inlineStr">
        <is>
          <t>E2E-05 · Schemes and coupons to checkout</t>
        </is>
      </c>
      <c r="D24" s="11" t="inlineStr">
        <is>
          <t>Scheme</t>
        </is>
      </c>
      <c r="E24" s="11" t="inlineStr">
        <is>
          <t>Upcoming scheme shown honestly</t>
        </is>
      </c>
      <c r="F24" s="11" t="inlineStr">
        <is>
          <t>A scheduled scheme shows its real start date.</t>
        </is>
      </c>
      <c r="G24" s="11" t="inlineStr">
        <is>
          <t>A scheme starting next week with Show before start</t>
        </is>
      </c>
      <c r="H24" s="11" t="inlineStr">
        <is>
          <t>—</t>
        </is>
      </c>
      <c r="I24" s="11" t="inlineStr">
        <is>
          <t>1. Store: open a covered product
2. Open /offers
3. Verify the expected result.</t>
        </is>
      </c>
      <c r="J24" s="11" t="inlineStr">
        <is>
          <t>Offers for you says "from &lt;real start date&gt;"; /offers lists it as coming up; prices are not changed yet.</t>
        </is>
      </c>
      <c r="K24" s="11" t="inlineStr"/>
      <c r="L24" s="11" t="inlineStr">
        <is>
          <t>Not Run</t>
        </is>
      </c>
      <c r="M24" s="11" t="inlineStr">
        <is>
          <t>Medium</t>
        </is>
      </c>
      <c r="N24" s="11" t="inlineStr">
        <is>
          <t>Integration</t>
        </is>
      </c>
      <c r="O24" s="11" t="inlineStr"/>
      <c r="P24" s="11" t="inlineStr"/>
      <c r="Q24" s="11" t="inlineStr"/>
      <c r="R24" s="11" t="inlineStr"/>
      <c r="S24" s="11" t="inlineStr">
        <is>
          <t>Shopper</t>
        </is>
      </c>
      <c r="T24" s="11" t="inlineStr">
        <is>
          <t>No</t>
        </is>
      </c>
      <c r="U24" s="11" t="inlineStr">
        <is>
          <t>docs/qa/regression/e2e/E2E-05-offers.md</t>
        </is>
      </c>
    </row>
    <row r="25">
      <c r="A25" s="11" t="inlineStr">
        <is>
          <t>E2E-06-001</t>
        </is>
      </c>
      <c r="B25" s="11" t="inlineStr">
        <is>
          <t>End-to-End</t>
        </is>
      </c>
      <c r="C25" s="11" t="inlineStr">
        <is>
          <t>E2E-06 · Review lifecycle</t>
        </is>
      </c>
      <c r="D25" s="11" t="inlineStr">
        <is>
          <t>Reviews</t>
        </is>
      </c>
      <c r="E25" s="11" t="inlineStr">
        <is>
          <t>Delivered buyer writes, store approves, store shows</t>
        </is>
      </c>
      <c r="F25" s="11" t="inlineStr">
        <is>
          <t>The full review cycle.</t>
        </is>
      </c>
      <c r="G25" s="11" t="inlineStr">
        <is>
          <t>A delivered order for shopper rahul.k@example.com with an account</t>
        </is>
      </c>
      <c r="H25" s="11" t="inlineStr">
        <is>
          <t>2 stars, title, text, a photo</t>
        </is>
      </c>
      <c r="I25" s="11" t="inlineStr">
        <is>
          <t>1. Shopper: My account → Write a review on the delivered order
2. Owner: Marketing → Reviews → Approve with reply
3. Store: open the product and a category
4. Verify the expected result.</t>
        </is>
      </c>
      <c r="J25" s="11" t="inlineStr">
        <is>
          <t>Product page shows the review with "Verified purchase" and the reply; cards show stars; the home page Reviews block shows it if 4+ stars only.</t>
        </is>
      </c>
      <c r="K25" s="11" t="inlineStr"/>
      <c r="L25" s="11" t="inlineStr">
        <is>
          <t>Not Run</t>
        </is>
      </c>
      <c r="M25" s="11" t="inlineStr">
        <is>
          <t>Critical</t>
        </is>
      </c>
      <c r="N25" s="11" t="inlineStr">
        <is>
          <t>Integration</t>
        </is>
      </c>
      <c r="O25" s="11" t="inlineStr"/>
      <c r="P25" s="11" t="inlineStr"/>
      <c r="Q25" s="11" t="inlineStr"/>
      <c r="R25" s="11" t="inlineStr"/>
      <c r="S25" s="11" t="inlineStr">
        <is>
          <t>Shopper, Store owner</t>
        </is>
      </c>
      <c r="T25" s="11" t="inlineStr">
        <is>
          <t>Yes</t>
        </is>
      </c>
      <c r="U25" s="11" t="inlineStr">
        <is>
          <t>docs/qa/regression/e2e/E2E-06-reviews.md</t>
        </is>
      </c>
    </row>
    <row r="26">
      <c r="A26" s="11" t="inlineStr">
        <is>
          <t>E2E-06-002</t>
        </is>
      </c>
      <c r="B26" s="11" t="inlineStr">
        <is>
          <t>End-to-End</t>
        </is>
      </c>
      <c r="C26" s="11" t="inlineStr">
        <is>
          <t>E2E-06 · Review lifecycle</t>
        </is>
      </c>
      <c r="D26" s="11" t="inlineStr">
        <is>
          <t>Reviews</t>
        </is>
      </c>
      <c r="E26" s="11" t="inlineStr">
        <is>
          <t>Non-buyers cannot review</t>
        </is>
      </c>
      <c r="F26" s="11" t="inlineStr">
        <is>
          <t>Only delivered items can be reviewed.</t>
        </is>
      </c>
      <c r="G26" s="11" t="inlineStr">
        <is>
          <t>A shopper with no delivered order</t>
        </is>
      </c>
      <c r="H26" s="11" t="inlineStr">
        <is>
          <t>—</t>
        </is>
      </c>
      <c r="I26" s="11" t="inlineStr">
        <is>
          <t>1. Look for Write a review in My account
2. Open a review link for another order
3. Verify the expected result.</t>
        </is>
      </c>
      <c r="J26" s="11" t="inlineStr">
        <is>
          <t>No Write a review; foreign or expired links are refused.</t>
        </is>
      </c>
      <c r="K26" s="11" t="inlineStr"/>
      <c r="L26" s="11" t="inlineStr">
        <is>
          <t>Not Run</t>
        </is>
      </c>
      <c r="M26" s="11" t="inlineStr">
        <is>
          <t>High</t>
        </is>
      </c>
      <c r="N26" s="11" t="inlineStr">
        <is>
          <t>Security/Permissions</t>
        </is>
      </c>
      <c r="O26" s="11" t="inlineStr"/>
      <c r="P26" s="11" t="inlineStr"/>
      <c r="Q26" s="11" t="inlineStr"/>
      <c r="R26" s="11" t="inlineStr"/>
      <c r="S26" s="11" t="inlineStr">
        <is>
          <t>Shopper</t>
        </is>
      </c>
      <c r="T26" s="11" t="inlineStr">
        <is>
          <t>No</t>
        </is>
      </c>
      <c r="U26" s="11" t="inlineStr">
        <is>
          <t>docs/qa/regression/e2e/E2E-06-reviews.md</t>
        </is>
      </c>
    </row>
    <row r="27">
      <c r="A27" s="11" t="inlineStr">
        <is>
          <t>E2E-07-001</t>
        </is>
      </c>
      <c r="B27" s="11" t="inlineStr">
        <is>
          <t>End-to-End</t>
        </is>
      </c>
      <c r="C27" s="11" t="inlineStr">
        <is>
          <t>E2E-07 · Store status across portals</t>
        </is>
      </c>
      <c r="D27" s="11" t="inlineStr">
        <is>
          <t>Status</t>
        </is>
      </c>
      <c r="E27" s="11" t="inlineStr">
        <is>
          <t>Go live, suspend, resume</t>
        </is>
      </c>
      <c r="F27" s="11" t="inlineStr">
        <is>
          <t>Store status reaches shoppers and search engines.</t>
        </is>
      </c>
      <c r="G27" s="11" t="inlineStr">
        <is>
          <t>Home Orbit draft</t>
        </is>
      </c>
      <c r="H27" s="11" t="inlineStr">
        <is>
          <t>Reasons for suspend</t>
        </is>
      </c>
      <c r="I27" s="11" t="inlineStr">
        <is>
          <t>1. Super admin: Go live
2. Store: reload; open /robots.txt and /sitemap.xml
3. Super admin: Suspend with a reason
4. Store: reload in a private window
5. Super admin: Resume
6. Verify the expected result.</t>
        </is>
      </c>
      <c r="J27" s="11" t="inlineStr">
        <is>
          <t>Live: no preview bar, robots allows, sitemap lists home, 13 categories and 110 products. Suspended: "Store unavailable", robots Disallow, sitemap gone. Resumed: back at once. Recent changes lists all with reasons.</t>
        </is>
      </c>
      <c r="K27" s="11" t="inlineStr"/>
      <c r="L27" s="11" t="inlineStr">
        <is>
          <t>Not Run</t>
        </is>
      </c>
      <c r="M27" s="11" t="inlineStr">
        <is>
          <t>Critical</t>
        </is>
      </c>
      <c r="N27" s="11" t="inlineStr">
        <is>
          <t>Integration</t>
        </is>
      </c>
      <c r="O27" s="11" t="inlineStr"/>
      <c r="P27" s="11" t="inlineStr"/>
      <c r="Q27" s="11" t="inlineStr"/>
      <c r="R27" s="11" t="inlineStr"/>
      <c r="S27" s="11" t="inlineStr">
        <is>
          <t>Super admin, Shopper</t>
        </is>
      </c>
      <c r="T27" s="11" t="inlineStr">
        <is>
          <t>Yes</t>
        </is>
      </c>
      <c r="U27" s="11" t="inlineStr">
        <is>
          <t>docs/qa/regression/e2e/E2E-07-store-status.md</t>
        </is>
      </c>
    </row>
    <row r="28">
      <c r="A28" s="11" t="inlineStr">
        <is>
          <t>E2E-07-002</t>
        </is>
      </c>
      <c r="B28" s="11" t="inlineStr">
        <is>
          <t>End-to-End</t>
        </is>
      </c>
      <c r="C28" s="11" t="inlineStr">
        <is>
          <t>E2E-07 · Store status across portals</t>
        </is>
      </c>
      <c r="D28" s="11" t="inlineStr">
        <is>
          <t>Status</t>
        </is>
      </c>
      <c r="E28" s="11" t="inlineStr">
        <is>
          <t>Suspended store refuses orders</t>
        </is>
      </c>
      <c r="F28" s="11" t="inlineStr">
        <is>
          <t>A suspended store cannot take orders even from an open checkout.</t>
        </is>
      </c>
      <c r="G28" s="11" t="inlineStr">
        <is>
          <t>Checkout open in a tab</t>
        </is>
      </c>
      <c r="H28" s="11" t="inlineStr">
        <is>
          <t>—</t>
        </is>
      </c>
      <c r="I28" s="11" t="inlineStr">
        <is>
          <t>1. Open checkout with an item
2. Super admin suspends the store
3. Place the order
4. Verify the expected result.</t>
        </is>
      </c>
      <c r="J28" s="11" t="inlineStr">
        <is>
          <t>The order is refused; no order is created.</t>
        </is>
      </c>
      <c r="K28" s="11" t="inlineStr"/>
      <c r="L28" s="11" t="inlineStr">
        <is>
          <t>Not Run</t>
        </is>
      </c>
      <c r="M28" s="11" t="inlineStr">
        <is>
          <t>High</t>
        </is>
      </c>
      <c r="N28" s="11" t="inlineStr">
        <is>
          <t>Security/Permissions</t>
        </is>
      </c>
      <c r="O28" s="11" t="inlineStr"/>
      <c r="P28" s="11" t="inlineStr"/>
      <c r="Q28" s="11" t="inlineStr"/>
      <c r="R28" s="11" t="inlineStr"/>
      <c r="S28" s="11" t="inlineStr">
        <is>
          <t>Shopper, Super admin</t>
        </is>
      </c>
      <c r="T28" s="11" t="inlineStr">
        <is>
          <t>No</t>
        </is>
      </c>
      <c r="U28" s="11" t="inlineStr">
        <is>
          <t>docs/qa/regression/e2e/E2E-07-store-status.md</t>
        </is>
      </c>
    </row>
    <row r="29">
      <c r="A29" s="11" t="inlineStr">
        <is>
          <t>E2E-08-001</t>
        </is>
      </c>
      <c r="B29" s="11" t="inlineStr">
        <is>
          <t>End-to-End</t>
        </is>
      </c>
      <c r="C29" s="11" t="inlineStr">
        <is>
          <t>E2E-08 · Platform support session audit</t>
        </is>
      </c>
      <c r="D29" s="11" t="inlineStr">
        <is>
          <t>Session</t>
        </is>
      </c>
      <c r="E29" s="11" t="inlineStr">
        <is>
          <t>Audited manage session</t>
        </is>
      </c>
      <c r="F29" s="11" t="inlineStr">
        <is>
          <t>Changes made by the platform inside a store are visible to the store and the platform.</t>
        </is>
      </c>
      <c r="G29" s="11" t="inlineStr">
        <is>
          <t>Super admin and owner</t>
        </is>
      </c>
      <c r="H29" s="11" t="inlineStr">
        <is>
          <t>Reason "Vendor asked us to set up the Diwali page"</t>
        </is>
      </c>
      <c r="I29" s="11" t="inlineStr">
        <is>
          <t>1. Super admin: Manage store with the reason
2. Edit About us; Save Draft
3. End session
4. Owner: open Pages
5. Super admin: Recent changes
6. Verify the expected result.</t>
        </is>
      </c>
      <c r="J29" s="11" t="inlineStr">
        <is>
          <t>Owner sees "by Platform Admin (platform team)"; Recent changes lists the session, reason and edit.</t>
        </is>
      </c>
      <c r="K29" s="11" t="inlineStr"/>
      <c r="L29" s="11" t="inlineStr">
        <is>
          <t>Not Run</t>
        </is>
      </c>
      <c r="M29" s="11" t="inlineStr">
        <is>
          <t>High</t>
        </is>
      </c>
      <c r="N29" s="11" t="inlineStr">
        <is>
          <t>Integration</t>
        </is>
      </c>
      <c r="O29" s="11" t="inlineStr"/>
      <c r="P29" s="11" t="inlineStr"/>
      <c r="Q29" s="11" t="inlineStr"/>
      <c r="R29" s="11" t="inlineStr"/>
      <c r="S29" s="11" t="inlineStr">
        <is>
          <t>Super admin, Store owner</t>
        </is>
      </c>
      <c r="T29" s="11" t="inlineStr">
        <is>
          <t>No</t>
        </is>
      </c>
      <c r="U29" s="11" t="inlineStr">
        <is>
          <t>docs/qa/regression/e2e/E2E-08-support-session.md</t>
        </is>
      </c>
    </row>
    <row r="30">
      <c r="A30" s="11" t="inlineStr">
        <is>
          <t>E2E-08-002</t>
        </is>
      </c>
      <c r="B30" s="11" t="inlineStr">
        <is>
          <t>End-to-End</t>
        </is>
      </c>
      <c r="C30" s="11" t="inlineStr">
        <is>
          <t>E2E-08 · Platform support session audit</t>
        </is>
      </c>
      <c r="D30" s="11" t="inlineStr">
        <is>
          <t>Session</t>
        </is>
      </c>
      <c r="E30" s="11" t="inlineStr">
        <is>
          <t>Support view cannot change data</t>
        </is>
      </c>
      <c r="F30" s="11" t="inlineStr">
        <is>
          <t>View as support never saves.</t>
        </is>
      </c>
      <c r="G30" s="11" t="inlineStr">
        <is>
          <t>View as support session</t>
        </is>
      </c>
      <c r="H30" s="11" t="inlineStr">
        <is>
          <t>—</t>
        </is>
      </c>
      <c r="I30" s="11" t="inlineStr">
        <is>
          <t>1. Try to save a product and a setting
2. Verify the expected result.</t>
        </is>
      </c>
      <c r="J30" s="11" t="inlineStr">
        <is>
          <t>Nothing saves; no Save buttons or the save is refused.</t>
        </is>
      </c>
      <c r="K30" s="11" t="inlineStr"/>
      <c r="L30" s="11" t="inlineStr">
        <is>
          <t>Not Run</t>
        </is>
      </c>
      <c r="M30" s="11" t="inlineStr">
        <is>
          <t>High</t>
        </is>
      </c>
      <c r="N30" s="11" t="inlineStr">
        <is>
          <t>Security/Permissions</t>
        </is>
      </c>
      <c r="O30" s="11" t="inlineStr"/>
      <c r="P30" s="11" t="inlineStr"/>
      <c r="Q30" s="11" t="inlineStr"/>
      <c r="R30" s="11" t="inlineStr"/>
      <c r="S30" s="11" t="inlineStr">
        <is>
          <t>Super admin</t>
        </is>
      </c>
      <c r="T30" s="11" t="inlineStr">
        <is>
          <t>No</t>
        </is>
      </c>
      <c r="U30" s="11" t="inlineStr">
        <is>
          <t>docs/qa/regression/e2e/E2E-08-support-session.md</t>
        </is>
      </c>
    </row>
    <row r="31">
      <c r="A31" s="11" t="inlineStr">
        <is>
          <t>E2E-09-001</t>
        </is>
      </c>
      <c r="B31" s="11" t="inlineStr">
        <is>
          <t>End-to-End</t>
        </is>
      </c>
      <c r="C31" s="11" t="inlineStr">
        <is>
          <t>E2E-09 · Connector allowance to checkout</t>
        </is>
      </c>
      <c r="D31" s="11" t="inlineStr">
        <is>
          <t>Connectors</t>
        </is>
      </c>
      <c r="E31" s="11" t="inlineStr">
        <is>
          <t>Razorpay blocked by the platform</t>
        </is>
      </c>
      <c r="F31" s="11" t="inlineStr">
        <is>
          <t>A disallowed provider is unusable for the store.</t>
        </is>
      </c>
      <c r="G31" s="11" t="inlineStr">
        <is>
          <t>Razorpay keys saved by the owner</t>
        </is>
      </c>
      <c r="H31" s="11" t="inlineStr">
        <is>
          <t>—</t>
        </is>
      </c>
      <c r="I31" s="11" t="inlineStr">
        <is>
          <t>1. Super admin: Connectors → Razorpay Allowed off
2. Owner: open Payments
3. Shopper: open checkout
4. Verify the expected result.</t>
        </is>
      </c>
      <c r="J31" s="11" t="inlineStr">
        <is>
          <t>Payments says Razorpay is not allowed; checkout offers no Pay online (COD only if on); switching it back restores.</t>
        </is>
      </c>
      <c r="K31" s="11" t="inlineStr"/>
      <c r="L31" s="11" t="inlineStr">
        <is>
          <t>Not Run</t>
        </is>
      </c>
      <c r="M31" s="11" t="inlineStr">
        <is>
          <t>High</t>
        </is>
      </c>
      <c r="N31" s="11" t="inlineStr">
        <is>
          <t>Integration</t>
        </is>
      </c>
      <c r="O31" s="11" t="inlineStr"/>
      <c r="P31" s="11" t="inlineStr"/>
      <c r="Q31" s="11" t="inlineStr"/>
      <c r="R31" s="11" t="inlineStr"/>
      <c r="S31" s="11" t="inlineStr">
        <is>
          <t>Super admin, Store owner, Shopper</t>
        </is>
      </c>
      <c r="T31" s="11" t="inlineStr">
        <is>
          <t>No</t>
        </is>
      </c>
      <c r="U31" s="11" t="inlineStr">
        <is>
          <t>docs/qa/regression/e2e/E2E-09-connectors.md</t>
        </is>
      </c>
    </row>
    <row r="32">
      <c r="A32" s="11" t="inlineStr">
        <is>
          <t>E2E-09-002</t>
        </is>
      </c>
      <c r="B32" s="11" t="inlineStr">
        <is>
          <t>End-to-End</t>
        </is>
      </c>
      <c r="C32" s="11" t="inlineStr">
        <is>
          <t>E2E-09 · Connector allowance to checkout</t>
        </is>
      </c>
      <c r="D32" s="11" t="inlineStr">
        <is>
          <t>Connectors</t>
        </is>
      </c>
      <c r="E32" s="11" t="inlineStr">
        <is>
          <t>COD rules at checkout</t>
        </is>
      </c>
      <c r="F32" s="11" t="inlineStr">
        <is>
          <t>COD rules from Payments apply at checkout and show to the platform.</t>
        </is>
      </c>
      <c r="G32" s="11" t="inlineStr">
        <is>
          <t>COD ₹499–₹25,000, fee ₹49</t>
        </is>
      </c>
      <c r="H32" s="11" t="inlineStr">
        <is>
          <t>Carts ₹300 and ₹600</t>
        </is>
      </c>
      <c r="I32" s="11" t="inlineStr">
        <is>
          <t>1. Shopper: checkout with ₹300 then ₹600
2. Super admin: Connectors tab
3. Verify the expected result.</t>
        </is>
      </c>
      <c r="J32" s="11" t="inlineStr">
        <is>
          <t>₹300 has no COD; ₹600 offers COD with ₹49; the platform shows the vendor's rules.</t>
        </is>
      </c>
      <c r="K32" s="11" t="inlineStr"/>
      <c r="L32" s="11" t="inlineStr">
        <is>
          <t>Not Run</t>
        </is>
      </c>
      <c r="M32" s="11" t="inlineStr">
        <is>
          <t>High</t>
        </is>
      </c>
      <c r="N32" s="11" t="inlineStr">
        <is>
          <t>Boundary</t>
        </is>
      </c>
      <c r="O32" s="11" t="inlineStr"/>
      <c r="P32" s="11" t="inlineStr"/>
      <c r="Q32" s="11" t="inlineStr"/>
      <c r="R32" s="11" t="inlineStr"/>
      <c r="S32" s="11" t="inlineStr">
        <is>
          <t>Shopper, Super admin</t>
        </is>
      </c>
      <c r="T32" s="11" t="inlineStr">
        <is>
          <t>No</t>
        </is>
      </c>
      <c r="U32" s="11" t="inlineStr">
        <is>
          <t>docs/qa/regression/e2e/E2E-09-connectors.md</t>
        </is>
      </c>
    </row>
    <row r="33">
      <c r="A33" s="11" t="inlineStr">
        <is>
          <t>E2E-10-001</t>
        </is>
      </c>
      <c r="B33" s="11" t="inlineStr">
        <is>
          <t>End-to-End</t>
        </is>
      </c>
      <c r="C33" s="11" t="inlineStr">
        <is>
          <t>E2E-10 · Staff roles and two-step reset</t>
        </is>
      </c>
      <c r="D33" s="11" t="inlineStr">
        <is>
          <t>Roles</t>
        </is>
      </c>
      <c r="E33" s="11" t="inlineStr">
        <is>
          <t>Order manager limits</t>
        </is>
      </c>
      <c r="F33" s="11" t="inlineStr">
        <is>
          <t>An order manager handles orders but not keys, staff or catalogue writes.</t>
        </is>
      </c>
      <c r="G33" s="11" t="inlineStr">
        <is>
          <t>Owner invites orders@homeorbit.example as Order manager</t>
        </is>
      </c>
      <c r="H33" s="11" t="inlineStr">
        <is>
          <t>—</t>
        </is>
      </c>
      <c r="I33" s="11" t="inlineStr">
        <is>
          <t>1. Accept the invite in another browser
2. Pack an order
3. Open /admin/payments, /admin/staff
4. Edit a product
5. Verify the expected result.</t>
        </is>
      </c>
      <c r="J33" s="11" t="inlineStr">
        <is>
          <t>Orders work; payments and staff refused; product editing refused or read-only.</t>
        </is>
      </c>
      <c r="K33" s="11" t="inlineStr"/>
      <c r="L33" s="11" t="inlineStr">
        <is>
          <t>Not Run</t>
        </is>
      </c>
      <c r="M33" s="11" t="inlineStr">
        <is>
          <t>Critical</t>
        </is>
      </c>
      <c r="N33" s="11" t="inlineStr">
        <is>
          <t>Security/Permissions</t>
        </is>
      </c>
      <c r="O33" s="11" t="inlineStr"/>
      <c r="P33" s="11" t="inlineStr"/>
      <c r="Q33" s="11" t="inlineStr"/>
      <c r="R33" s="11" t="inlineStr"/>
      <c r="S33" s="11" t="inlineStr">
        <is>
          <t>Store owner, Order manager</t>
        </is>
      </c>
      <c r="T33" s="11" t="inlineStr">
        <is>
          <t>Yes</t>
        </is>
      </c>
      <c r="U33" s="11" t="inlineStr">
        <is>
          <t>docs/qa/regression/e2e/E2E-10-staff.md</t>
        </is>
      </c>
    </row>
    <row r="34">
      <c r="A34" s="11" t="inlineStr">
        <is>
          <t>E2E-10-002</t>
        </is>
      </c>
      <c r="B34" s="11" t="inlineStr">
        <is>
          <t>End-to-End</t>
        </is>
      </c>
      <c r="C34" s="11" t="inlineStr">
        <is>
          <t>E2E-10 · Staff roles and two-step reset</t>
        </is>
      </c>
      <c r="D34" s="11" t="inlineStr">
        <is>
          <t>Two-step</t>
        </is>
      </c>
      <c r="E34" s="11" t="inlineStr">
        <is>
          <t>Platform resets a staff member's two-step</t>
        </is>
      </c>
      <c r="F34" s="11" t="inlineStr">
        <is>
          <t>A vendor staff member who lost their phone is reset by the super admin.</t>
        </is>
      </c>
      <c r="G34" s="11" t="inlineStr">
        <is>
          <t>Staff member with two-step On</t>
        </is>
      </c>
      <c r="H34" s="11" t="inlineStr">
        <is>
          <t>—</t>
        </is>
      </c>
      <c r="I34" s="11" t="inlineStr">
        <is>
          <t>1. Super admin: Home Orbit → Staff → Reset two-step
2. Staff member signs in
3. Verify the expected result.</t>
        </is>
      </c>
      <c r="J34" s="11" t="inlineStr">
        <is>
          <t>They sign in with the password only and can set two-step again; the reset is in the audit log.</t>
        </is>
      </c>
      <c r="K34" s="11" t="inlineStr"/>
      <c r="L34" s="11" t="inlineStr">
        <is>
          <t>Not Run</t>
        </is>
      </c>
      <c r="M34" s="11" t="inlineStr">
        <is>
          <t>High</t>
        </is>
      </c>
      <c r="N34" s="11" t="inlineStr">
        <is>
          <t>Security/Permissions</t>
        </is>
      </c>
      <c r="O34" s="11" t="inlineStr"/>
      <c r="P34" s="11" t="inlineStr"/>
      <c r="Q34" s="11" t="inlineStr"/>
      <c r="R34" s="11" t="inlineStr"/>
      <c r="S34" s="11" t="inlineStr">
        <is>
          <t>Super admin, Store staff</t>
        </is>
      </c>
      <c r="T34" s="11" t="inlineStr">
        <is>
          <t>No</t>
        </is>
      </c>
      <c r="U34" s="11" t="inlineStr">
        <is>
          <t>docs/qa/regression/e2e/E2E-10-staff.md</t>
        </is>
      </c>
    </row>
    <row r="35">
      <c r="A35" s="11" t="inlineStr">
        <is>
          <t>E2E-11-001</t>
        </is>
      </c>
      <c r="B35" s="11" t="inlineStr">
        <is>
          <t>End-to-End</t>
        </is>
      </c>
      <c r="C35" s="11" t="inlineStr">
        <is>
          <t>E2E-11 · Tenant isolation</t>
        </is>
      </c>
      <c r="D35" s="11" t="inlineStr">
        <is>
          <t>Isolation</t>
        </is>
      </c>
      <c r="E35" s="11" t="inlineStr">
        <is>
          <t>Another store's records are invisible</t>
        </is>
      </c>
      <c r="F35" s="11" t="inlineStr">
        <is>
          <t>Demo Sanitary's owner cannot see Home Orbit data.</t>
        </is>
      </c>
      <c r="G35" s="11" t="inlineStr">
        <is>
          <t>Both owners signed in</t>
        </is>
      </c>
      <c r="H35" s="11" t="inlineStr">
        <is>
          <t>A Home Orbit product address</t>
        </is>
      </c>
      <c r="I35" s="11" t="inlineStr">
        <is>
          <t>1. Demo Sanitary owner: open Products, Categories, Media, Enquiries, Orders
2. Paste a Home Orbit product's admin address
3. Verify the expected result.</t>
        </is>
      </c>
      <c r="J35" s="11" t="inlineStr">
        <is>
          <t>All lists show only Demo Sanitary's records; the pasted address says it could not be found or no access.</t>
        </is>
      </c>
      <c r="K35" s="11" t="inlineStr"/>
      <c r="L35" s="11" t="inlineStr">
        <is>
          <t>Not Run</t>
        </is>
      </c>
      <c r="M35" s="11" t="inlineStr">
        <is>
          <t>Critical</t>
        </is>
      </c>
      <c r="N35" s="11" t="inlineStr">
        <is>
          <t>Security/Permissions</t>
        </is>
      </c>
      <c r="O35" s="11" t="inlineStr"/>
      <c r="P35" s="11" t="inlineStr"/>
      <c r="Q35" s="11" t="inlineStr"/>
      <c r="R35" s="11" t="inlineStr"/>
      <c r="S35" s="11" t="inlineStr">
        <is>
          <t>Store owners</t>
        </is>
      </c>
      <c r="T35" s="11" t="inlineStr">
        <is>
          <t>Yes</t>
        </is>
      </c>
      <c r="U35" s="11" t="inlineStr">
        <is>
          <t>docs/qa/regression/e2e/E2E-11-isolation.md</t>
        </is>
      </c>
    </row>
    <row r="36">
      <c r="A36" s="11" t="inlineStr">
        <is>
          <t>E2E-11-002</t>
        </is>
      </c>
      <c r="B36" s="11" t="inlineStr">
        <is>
          <t>End-to-End</t>
        </is>
      </c>
      <c r="C36" s="11" t="inlineStr">
        <is>
          <t>E2E-11 · Tenant isolation</t>
        </is>
      </c>
      <c r="D36" s="11" t="inlineStr">
        <is>
          <t>Isolation</t>
        </is>
      </c>
      <c r="E36" s="11" t="inlineStr">
        <is>
          <t>Shopper logins are per store</t>
        </is>
      </c>
      <c r="F36" s="11" t="inlineStr">
        <is>
          <t>A shopper account on one store does not sign in on another.</t>
        </is>
      </c>
      <c r="G36" s="11" t="inlineStr">
        <is>
          <t>Shopper account on Home Orbit</t>
        </is>
      </c>
      <c r="H36" s="11" t="inlineStr">
        <is>
          <t>Same email on demo-sanitary.localhost</t>
        </is>
      </c>
      <c r="I36" s="11" t="inlineStr">
        <is>
          <t>1. Sign in on Home Orbit
2. Open http://demo-sanitary.localhost:3000/account
3. Verify the expected result.</t>
        </is>
      </c>
      <c r="J36" s="11" t="inlineStr">
        <is>
          <t>Not signed in on Demo Sanitary; the same email there is a separate account.</t>
        </is>
      </c>
      <c r="K36" s="11" t="inlineStr"/>
      <c r="L36" s="11" t="inlineStr">
        <is>
          <t>Not Run</t>
        </is>
      </c>
      <c r="M36" s="11" t="inlineStr">
        <is>
          <t>High</t>
        </is>
      </c>
      <c r="N36" s="11" t="inlineStr">
        <is>
          <t>Security/Permissions</t>
        </is>
      </c>
      <c r="O36" s="11" t="inlineStr"/>
      <c r="P36" s="11" t="inlineStr"/>
      <c r="Q36" s="11" t="inlineStr"/>
      <c r="R36" s="11" t="inlineStr"/>
      <c r="S36" s="11" t="inlineStr">
        <is>
          <t>Shopper</t>
        </is>
      </c>
      <c r="T36" s="11" t="inlineStr">
        <is>
          <t>No</t>
        </is>
      </c>
      <c r="U36" s="11" t="inlineStr">
        <is>
          <t>docs/qa/regression/e2e/E2E-11-isolation.md</t>
        </is>
      </c>
    </row>
    <row r="37">
      <c r="A37" s="11" t="inlineStr">
        <is>
          <t>E2E-11-003</t>
        </is>
      </c>
      <c r="B37" s="11" t="inlineStr">
        <is>
          <t>End-to-End</t>
        </is>
      </c>
      <c r="C37" s="11" t="inlineStr">
        <is>
          <t>E2E-11 · Tenant isolation</t>
        </is>
      </c>
      <c r="D37" s="11" t="inlineStr">
        <is>
          <t>Isolation</t>
        </is>
      </c>
      <c r="E37" s="11" t="inlineStr">
        <is>
          <t>API reads are scoped</t>
        </is>
      </c>
      <c r="F37" s="11" t="inlineStr">
        <is>
          <t>The REST API never returns another store's records.</t>
        </is>
      </c>
      <c r="G37" s="11" t="inlineStr">
        <is>
          <t>Signed in as Demo Sanitary owner</t>
        </is>
      </c>
      <c r="H37" s="11" t="inlineStr">
        <is>
          <t>/api/products?limit=5</t>
        </is>
      </c>
      <c r="I37" s="11" t="inlineStr">
        <is>
          <t>1. Open /api/products?limit=5 in the browser
2. Verify the expected result.</t>
        </is>
      </c>
      <c r="J37" s="11" t="inlineStr">
        <is>
          <t>Only Demo Sanitary's products (or none); never Home Orbit's.</t>
        </is>
      </c>
      <c r="K37" s="11" t="inlineStr"/>
      <c r="L37" s="11" t="inlineStr">
        <is>
          <t>Not Run</t>
        </is>
      </c>
      <c r="M37" s="11" t="inlineStr">
        <is>
          <t>Critical</t>
        </is>
      </c>
      <c r="N37" s="11" t="inlineStr">
        <is>
          <t>Security/Permissions</t>
        </is>
      </c>
      <c r="O37" s="11" t="inlineStr"/>
      <c r="P37" s="11" t="inlineStr"/>
      <c r="Q37" s="11" t="inlineStr"/>
      <c r="R37" s="11" t="inlineStr"/>
      <c r="S37" s="11" t="inlineStr">
        <is>
          <t>Store owner</t>
        </is>
      </c>
      <c r="T37" s="11" t="inlineStr">
        <is>
          <t>No</t>
        </is>
      </c>
      <c r="U37" s="11" t="inlineStr">
        <is>
          <t>docs/qa/regression/e2e/E2E-11-isolation.md</t>
        </is>
      </c>
    </row>
    <row r="38">
      <c r="A38" s="11" t="inlineStr">
        <is>
          <t>E2E-12-001</t>
        </is>
      </c>
      <c r="B38" s="11" t="inlineStr">
        <is>
          <t>End-to-End</t>
        </is>
      </c>
      <c r="C38" s="11" t="inlineStr">
        <is>
          <t>E2E-12 · Enquiry from store to inbox</t>
        </is>
      </c>
      <c r="D38" s="11" t="inlineStr">
        <is>
          <t>Enquiry</t>
        </is>
      </c>
      <c r="E38" s="11" t="inlineStr">
        <is>
          <t>Quote to inbox to closed</t>
        </is>
      </c>
      <c r="F38" s="11" t="inlineStr">
        <is>
          <t>A product quote request reaches the inbox and is worked.</t>
        </is>
      </c>
      <c r="G38" s="11" t="inlineStr">
        <is>
          <t>Enquiries on</t>
        </is>
      </c>
      <c r="H38" s="11" t="inlineStr">
        <is>
          <t>Name, 10-digit mobile, city, quantity 50, consent ticked; options picked</t>
        </is>
      </c>
      <c r="I38" s="11" t="inlineStr">
        <is>
          <t>1. Store: product page → Request a bulk quote with the data
2. Owner: dashboard figures and bell
3. Inbox: open it, assign, Contacted, note, Won
4. Verify the expected result.</t>
        </is>
      </c>
      <c r="J38" s="11" t="inlineStr">
        <is>
          <t>Store says thanks with ENQ-n; dashboard and bell count it; the inbox shows the options; it moves New → In progress → Closed.</t>
        </is>
      </c>
      <c r="K38" s="11" t="inlineStr"/>
      <c r="L38" s="11" t="inlineStr">
        <is>
          <t>Not Run</t>
        </is>
      </c>
      <c r="M38" s="11" t="inlineStr">
        <is>
          <t>Critical</t>
        </is>
      </c>
      <c r="N38" s="11" t="inlineStr">
        <is>
          <t>Integration</t>
        </is>
      </c>
      <c r="O38" s="11" t="inlineStr"/>
      <c r="P38" s="11" t="inlineStr"/>
      <c r="Q38" s="11" t="inlineStr"/>
      <c r="R38" s="11" t="inlineStr"/>
      <c r="S38" s="11" t="inlineStr">
        <is>
          <t>Shopper, Store owner</t>
        </is>
      </c>
      <c r="T38" s="11" t="inlineStr">
        <is>
          <t>Yes</t>
        </is>
      </c>
      <c r="U38" s="11" t="inlineStr">
        <is>
          <t>docs/qa/regression/e2e/E2E-12-enquiries.md</t>
        </is>
      </c>
    </row>
    <row r="39">
      <c r="A39" s="11" t="inlineStr">
        <is>
          <t>E2E-12-002</t>
        </is>
      </c>
      <c r="B39" s="11" t="inlineStr">
        <is>
          <t>End-to-End</t>
        </is>
      </c>
      <c r="C39" s="11" t="inlineStr">
        <is>
          <t>E2E-12 · Enquiry from store to inbox</t>
        </is>
      </c>
      <c r="D39" s="11" t="inlineStr">
        <is>
          <t>Enquiry</t>
        </is>
      </c>
      <c r="E39" s="11" t="inlineStr">
        <is>
          <t>Validation and spam limit</t>
        </is>
      </c>
      <c r="F39" s="11" t="inlineStr">
        <is>
          <t>The quote form validates and limits repeats.</t>
        </is>
      </c>
      <c r="G39" s="11" t="inlineStr">
        <is>
          <t>—</t>
        </is>
      </c>
      <c r="H39" s="11" t="inlineStr">
        <is>
          <t>Empty form; then 6 sends in 10 minutes</t>
        </is>
      </c>
      <c r="I39" s="11" t="inlineStr">
        <is>
          <t>1. Send the form empty
2. Send a valid form 6 times quickly
3. Verify the expected result.</t>
        </is>
      </c>
      <c r="J39" s="11" t="inlineStr">
        <is>
          <t>Errors under Name and consent and "Add a mobile number or an email…"; the 6th send is refused with the wait message.</t>
        </is>
      </c>
      <c r="K39" s="11" t="inlineStr"/>
      <c r="L39" s="11" t="inlineStr">
        <is>
          <t>Not Run</t>
        </is>
      </c>
      <c r="M39" s="11" t="inlineStr">
        <is>
          <t>High</t>
        </is>
      </c>
      <c r="N39" s="11" t="inlineStr">
        <is>
          <t>Validation</t>
        </is>
      </c>
      <c r="O39" s="11" t="inlineStr"/>
      <c r="P39" s="11" t="inlineStr"/>
      <c r="Q39" s="11" t="inlineStr"/>
      <c r="R39" s="11" t="inlineStr">
        <is>
          <t>Also: Boundary</t>
        </is>
      </c>
      <c r="S39" s="11" t="inlineStr">
        <is>
          <t>Shopper</t>
        </is>
      </c>
      <c r="T39" s="11" t="inlineStr">
        <is>
          <t>No</t>
        </is>
      </c>
      <c r="U39" s="11" t="inlineStr">
        <is>
          <t>docs/qa/regression/e2e/E2E-12-enquiries.md</t>
        </is>
      </c>
    </row>
    <row r="40">
      <c r="A40" s="11" t="inlineStr">
        <is>
          <t>E2E-13-001</t>
        </is>
      </c>
      <c r="B40" s="11" t="inlineStr">
        <is>
          <t>End-to-End</t>
        </is>
      </c>
      <c r="C40" s="11" t="inlineStr">
        <is>
          <t>E2E-13 · Returns and refunds</t>
        </is>
      </c>
      <c r="D40" s="11" t="inlineStr">
        <is>
          <t>Returns</t>
        </is>
      </c>
      <c r="E40" s="11" t="inlineStr">
        <is>
          <t>Request, approve, receive, refund</t>
        </is>
      </c>
      <c r="F40" s="11" t="inlineStr">
        <is>
          <t>A return runs from the shopper to a refund and the report.</t>
        </is>
      </c>
      <c r="G40" s="11" t="inlineStr">
        <is>
          <t>A delivered order for a shopper account</t>
        </is>
      </c>
      <c r="H40" s="11" t="inlineStr">
        <is>
          <t>Reason, note, a photo</t>
        </is>
      </c>
      <c r="I40" s="11" t="inlineStr">
        <is>
          <t>1. Shopper: order page → Request return
2. Owner: Orders → Returns → Approve with pickup note
3. Mark received; Refund
4. Insights → Reports
5. Verify the expected result.</t>
        </is>
      </c>
      <c r="J40" s="11" t="inlineStr">
        <is>
          <t>Shopper sees each state; the return reads Refunded; a credit note lowers the GST summary row.</t>
        </is>
      </c>
      <c r="K40" s="11" t="inlineStr"/>
      <c r="L40" s="11" t="inlineStr">
        <is>
          <t>Not Run</t>
        </is>
      </c>
      <c r="M40" s="11" t="inlineStr">
        <is>
          <t>High</t>
        </is>
      </c>
      <c r="N40" s="11" t="inlineStr">
        <is>
          <t>Integration</t>
        </is>
      </c>
      <c r="O40" s="11" t="inlineStr"/>
      <c r="P40" s="11" t="inlineStr"/>
      <c r="Q40" s="11" t="inlineStr"/>
      <c r="R40" s="11" t="inlineStr"/>
      <c r="S40" s="11" t="inlineStr">
        <is>
          <t>Shopper, Store owner</t>
        </is>
      </c>
      <c r="T40" s="11" t="inlineStr">
        <is>
          <t>No</t>
        </is>
      </c>
      <c r="U40" s="11" t="inlineStr">
        <is>
          <t>docs/qa/regression/e2e/E2E-13-returns.md</t>
        </is>
      </c>
    </row>
    <row r="41">
      <c r="A41" s="11" t="inlineStr">
        <is>
          <t>E2E-14-001</t>
        </is>
      </c>
      <c r="B41" s="11" t="inlineStr">
        <is>
          <t>End-to-End</t>
        </is>
      </c>
      <c r="C41" s="11" t="inlineStr">
        <is>
          <t>E2E-14 · Offer consent, abandoned cart and unsubscribe</t>
        </is>
      </c>
      <c r="D41" s="11" t="inlineStr">
        <is>
          <t>Consent</t>
        </is>
      </c>
      <c r="E41" s="11" t="inlineStr">
        <is>
          <t>Consent drives reminders; unsubscribe stops offers only</t>
        </is>
      </c>
      <c r="F41" s="11" t="inlineStr">
        <is>
          <t>Offer consent at checkout and unsubscribe behave as promised.</t>
        </is>
      </c>
      <c r="G41" s="11" t="inlineStr">
        <is>
          <t>Offer messages and abandoned cart on</t>
        </is>
      </c>
      <c r="H41" s="11" t="inlineStr">
        <is>
          <t>Tick "Offers and new launches · By email"</t>
        </is>
      </c>
      <c r="I41" s="11" t="inlineStr">
        <is>
          <t>1. Shopper: checkout, tick offers by email, leave
2. After the delay: reminder in the terminal; Return to your cart restores it
3. Open Unsubscribe and confirm
4. Owner: send an offer message
5. Place and ship an order for the same email
6. Verify the expected result.</t>
        </is>
      </c>
      <c r="J41" s="11" t="inlineStr">
        <is>
          <t>Reminder sent with consent; after unsubscribe no offer message is sent to that email, but order updates still are.</t>
        </is>
      </c>
      <c r="K41" s="11" t="inlineStr"/>
      <c r="L41" s="11" t="inlineStr">
        <is>
          <t>Not Run</t>
        </is>
      </c>
      <c r="M41" s="11" t="inlineStr">
        <is>
          <t>High</t>
        </is>
      </c>
      <c r="N41" s="11" t="inlineStr">
        <is>
          <t>Integration</t>
        </is>
      </c>
      <c r="O41" s="11" t="inlineStr"/>
      <c r="P41" s="11" t="inlineStr"/>
      <c r="Q41" s="11" t="inlineStr"/>
      <c r="R41" s="11" t="inlineStr"/>
      <c r="S41" s="11" t="inlineStr">
        <is>
          <t>Shopper, Store owner</t>
        </is>
      </c>
      <c r="T41" s="11" t="inlineStr">
        <is>
          <t>No</t>
        </is>
      </c>
      <c r="U41" s="11" t="inlineStr">
        <is>
          <t>docs/qa/regression/e2e/E2E-14-abandoned.md</t>
        </is>
      </c>
    </row>
    <row r="42">
      <c r="A42" s="11" t="inlineStr">
        <is>
          <t>E2E-15-001</t>
        </is>
      </c>
      <c r="B42" s="11" t="inlineStr">
        <is>
          <t>End-to-End</t>
        </is>
      </c>
      <c r="C42" s="11" t="inlineStr">
        <is>
          <t>E2E-15 · Affiliate referral to commission</t>
        </is>
      </c>
      <c r="D42" s="11" t="inlineStr">
        <is>
          <t>Affiliate</t>
        </is>
      </c>
      <c r="E42" s="11" t="inlineStr">
        <is>
          <t>Referral to approved commission</t>
        </is>
      </c>
      <c r="F42" s="11" t="inlineStr">
        <is>
          <t>An affiliate link credits the order without exposing the shopper.</t>
        </is>
      </c>
      <c r="G42" s="11" t="inlineStr">
        <is>
          <t>Approved affiliate</t>
        </is>
      </c>
      <c r="H42" s="11" t="inlineStr">
        <is>
          <t>/r/&lt;CODE&gt;?to=/products/&lt;slug&gt;</t>
        </is>
      </c>
      <c r="I42" s="11" t="inlineStr">
        <is>
          <t>1. Open the link in another browser; place a COD order
2. Affiliate: /affiliate/dashboard
3. Owner: deliver the order; wait the hold days or run the job
4. Verify the expected result.</t>
        </is>
      </c>
      <c r="J42" s="11" t="inlineStr">
        <is>
          <t>Dashboard shows the order "Pending: not delivered yet" without shopper details; after delivery and hold it becomes approved; cancelling reverses it.</t>
        </is>
      </c>
      <c r="K42" s="11" t="inlineStr"/>
      <c r="L42" s="11" t="inlineStr">
        <is>
          <t>Not Run</t>
        </is>
      </c>
      <c r="M42" s="11" t="inlineStr">
        <is>
          <t>Medium</t>
        </is>
      </c>
      <c r="N42" s="11" t="inlineStr">
        <is>
          <t>Integration</t>
        </is>
      </c>
      <c r="O42" s="11" t="inlineStr"/>
      <c r="P42" s="11" t="inlineStr"/>
      <c r="Q42" s="11" t="inlineStr"/>
      <c r="R42" s="11" t="inlineStr"/>
      <c r="S42" s="11" t="inlineStr">
        <is>
          <t>Affiliate, Shopper, Store owner</t>
        </is>
      </c>
      <c r="T42" s="11" t="inlineStr">
        <is>
          <t>No</t>
        </is>
      </c>
      <c r="U42" s="11" t="inlineStr">
        <is>
          <t>docs/qa/regression/e2e/E2E-15-affiliate.md</t>
        </is>
      </c>
    </row>
    <row r="43">
      <c r="A43" s="11" t="inlineStr">
        <is>
          <t>E2E-16-001</t>
        </is>
      </c>
      <c r="B43" s="11" t="inlineStr">
        <is>
          <t>End-to-End</t>
        </is>
      </c>
      <c r="C43" s="11" t="inlineStr">
        <is>
          <t>E2E-16 · Billing to subscriptions</t>
        </is>
      </c>
      <c r="D43" s="11" t="inlineStr">
        <is>
          <t>Billing</t>
        </is>
      </c>
      <c r="E43" s="11" t="inlineStr">
        <is>
          <t>Payment updates subscriptions and MRR</t>
        </is>
      </c>
      <c r="F43" s="11" t="inlineStr">
        <is>
          <t>Recording a vendor payment changes the platform money views.</t>
        </is>
      </c>
      <c r="G43" s="11" t="inlineStr">
        <is>
          <t>A trial or past-due vendor</t>
        </is>
      </c>
      <c r="H43" s="11" t="inlineStr">
        <is>
          <t>₹9,999</t>
        </is>
      </c>
      <c r="I43" s="11" t="inlineStr">
        <is>
          <t>1. Super admin: note Subscriptions and dashboard figures
2. Record a payment on the vendor's Billing
3. Reload Subscriptions and the dashboard
4. Verify the expected result.</t>
        </is>
      </c>
      <c r="J43" s="11" t="inlineStr">
        <is>
          <t>The subscription is Active with the new period; Past due and MRR change accordingly.</t>
        </is>
      </c>
      <c r="K43" s="11" t="inlineStr"/>
      <c r="L43" s="11" t="inlineStr">
        <is>
          <t>Not Run</t>
        </is>
      </c>
      <c r="M43" s="11" t="inlineStr">
        <is>
          <t>High</t>
        </is>
      </c>
      <c r="N43" s="11" t="inlineStr">
        <is>
          <t>Integration</t>
        </is>
      </c>
      <c r="O43" s="11" t="inlineStr"/>
      <c r="P43" s="11" t="inlineStr"/>
      <c r="Q43" s="11" t="inlineStr"/>
      <c r="R43" s="11" t="inlineStr"/>
      <c r="S43" s="11" t="inlineStr">
        <is>
          <t>Super admin</t>
        </is>
      </c>
      <c r="T43" s="11" t="inlineStr">
        <is>
          <t>No</t>
        </is>
      </c>
      <c r="U43" s="11" t="inlineStr">
        <is>
          <t>docs/qa/regression/e2e/E2E-16-billing.md</t>
        </is>
      </c>
    </row>
    <row r="44">
      <c r="A44" s="11" t="inlineStr">
        <is>
          <t>E2E-17-001</t>
        </is>
      </c>
      <c r="B44" s="11" t="inlineStr">
        <is>
          <t>End-to-End</t>
        </is>
      </c>
      <c r="C44" s="11" t="inlineStr">
        <is>
          <t>E2E-17 · Shopper account and wishlist across devices</t>
        </is>
      </c>
      <c r="D44" s="11" t="inlineStr">
        <is>
          <t>Account</t>
        </is>
      </c>
      <c r="E44" s="11" t="inlineStr">
        <is>
          <t>Guest orders join the account</t>
        </is>
      </c>
      <c r="F44" s="11" t="inlineStr">
        <is>
          <t>Logging in with the checkout email shows earlier guest orders.</t>
        </is>
      </c>
      <c r="G44" s="11" t="inlineStr">
        <is>
          <t>A guest COD order with rahul.k@example.com</t>
        </is>
      </c>
      <c r="H44" s="11" t="inlineStr">
        <is>
          <t>Code from the terminal</t>
        </is>
      </c>
      <c r="I44" s="11" t="inlineStr">
        <is>
          <t>1. Open http://home-orbit.localhost:3000/account → Send code to the email
2. Type the code from the terminal
3. Read Your orders
4. Verify the expected result.</t>
        </is>
      </c>
      <c r="J44" s="11" t="inlineStr">
        <is>
          <t>My account "Hi Rahul" lists the guest order with Track order and Invoice.</t>
        </is>
      </c>
      <c r="K44" s="11" t="inlineStr"/>
      <c r="L44" s="11" t="inlineStr">
        <is>
          <t>Not Run</t>
        </is>
      </c>
      <c r="M44" s="11" t="inlineStr">
        <is>
          <t>High</t>
        </is>
      </c>
      <c r="N44" s="11" t="inlineStr">
        <is>
          <t>Integration</t>
        </is>
      </c>
      <c r="O44" s="11" t="inlineStr"/>
      <c r="P44" s="11" t="inlineStr"/>
      <c r="Q44" s="11" t="inlineStr"/>
      <c r="R44" s="11" t="inlineStr"/>
      <c r="S44" s="11" t="inlineStr">
        <is>
          <t>Shopper</t>
        </is>
      </c>
      <c r="T44" s="11" t="inlineStr">
        <is>
          <t>No</t>
        </is>
      </c>
      <c r="U44" s="11" t="inlineStr">
        <is>
          <t>docs/qa/regression/e2e/E2E-17-account.md</t>
        </is>
      </c>
    </row>
    <row r="45">
      <c r="A45" s="11" t="inlineStr">
        <is>
          <t>E2E-17-002</t>
        </is>
      </c>
      <c r="B45" s="11" t="inlineStr">
        <is>
          <t>End-to-End</t>
        </is>
      </c>
      <c r="C45" s="11" t="inlineStr">
        <is>
          <t>E2E-17 · Shopper account and wishlist across devices</t>
        </is>
      </c>
      <c r="D45" s="11" t="inlineStr">
        <is>
          <t>Wishlist</t>
        </is>
      </c>
      <c r="E45" s="11" t="inlineStr">
        <is>
          <t>Wishlist follows sign-in</t>
        </is>
      </c>
      <c r="F45" s="11" t="inlineStr">
        <is>
          <t>A guest wishlist merges into the account and shows on another browser.</t>
        </is>
      </c>
      <c r="G45" s="11" t="inlineStr">
        <is>
          <t>Wishlist on</t>
        </is>
      </c>
      <c r="H45" s="11" t="inlineStr">
        <is>
          <t>—</t>
        </is>
      </c>
      <c r="I45" s="11" t="inlineStr">
        <is>
          <t>1. As a guest tap the heart on two cards
2. Log in
3. Open /wishlist in another browser signed in
4. Verify the expected result.</t>
        </is>
      </c>
      <c r="J45" s="11" t="inlineStr">
        <is>
          <t>Both products in the wishlist on both browsers; the header heart shows 2.</t>
        </is>
      </c>
      <c r="K45" s="11" t="inlineStr"/>
      <c r="L45" s="11" t="inlineStr">
        <is>
          <t>Not Run</t>
        </is>
      </c>
      <c r="M45" s="11" t="inlineStr">
        <is>
          <t>Medium</t>
        </is>
      </c>
      <c r="N45" s="11" t="inlineStr">
        <is>
          <t>Data persistence</t>
        </is>
      </c>
      <c r="O45" s="11" t="inlineStr"/>
      <c r="P45" s="11" t="inlineStr"/>
      <c r="Q45" s="11" t="inlineStr"/>
      <c r="R45" s="11" t="inlineStr"/>
      <c r="S45" s="11" t="inlineStr">
        <is>
          <t>Shopper</t>
        </is>
      </c>
      <c r="T45" s="11" t="inlineStr">
        <is>
          <t>No</t>
        </is>
      </c>
      <c r="U45" s="11" t="inlineStr">
        <is>
          <t>docs/qa/regression/e2e/E2E-17-account.md</t>
        </is>
      </c>
    </row>
    <row r="46">
      <c r="A46" s="11" t="inlineStr">
        <is>
          <t>E2E-17-003</t>
        </is>
      </c>
      <c r="B46" s="11" t="inlineStr">
        <is>
          <t>End-to-End</t>
        </is>
      </c>
      <c r="C46" s="11" t="inlineStr">
        <is>
          <t>E2E-17 · Shopper account and wishlist across devices</t>
        </is>
      </c>
      <c r="D46" s="11" t="inlineStr">
        <is>
          <t>Account</t>
        </is>
      </c>
      <c r="E46" s="11" t="inlineStr">
        <is>
          <t>Log out of all devices</t>
        </is>
      </c>
      <c r="F46" s="11" t="inlineStr">
        <is>
          <t>Logging out everywhere ends other sessions.</t>
        </is>
      </c>
      <c r="G46" s="11" t="inlineStr">
        <is>
          <t>Signed in on two browsers</t>
        </is>
      </c>
      <c r="H46" s="11" t="inlineStr">
        <is>
          <t>—</t>
        </is>
      </c>
      <c r="I46" s="11" t="inlineStr">
        <is>
          <t>1. Press Log out of all devices on one
2. Open a page on the other
3. Verify the expected result.</t>
        </is>
      </c>
      <c r="J46" s="11" t="inlineStr">
        <is>
          <t>The other browser is signed out on its next page.</t>
        </is>
      </c>
      <c r="K46" s="11" t="inlineStr"/>
      <c r="L46" s="11" t="inlineStr">
        <is>
          <t>Not Run</t>
        </is>
      </c>
      <c r="M46" s="11" t="inlineStr">
        <is>
          <t>Medium</t>
        </is>
      </c>
      <c r="N46" s="11" t="inlineStr">
        <is>
          <t>Security/Permissions</t>
        </is>
      </c>
      <c r="O46" s="11" t="inlineStr"/>
      <c r="P46" s="11" t="inlineStr"/>
      <c r="Q46" s="11" t="inlineStr"/>
      <c r="R46" s="11" t="inlineStr"/>
      <c r="S46" s="11" t="inlineStr">
        <is>
          <t>Shopper</t>
        </is>
      </c>
      <c r="T46" s="11" t="inlineStr">
        <is>
          <t>No</t>
        </is>
      </c>
      <c r="U46" s="11" t="inlineStr">
        <is>
          <t>docs/qa/regression/e2e/E2E-17-account.md</t>
        </is>
      </c>
    </row>
    <row r="47">
      <c r="A47" s="11" t="inlineStr">
        <is>
          <t>E2E-18-001</t>
        </is>
      </c>
      <c r="B47" s="11" t="inlineStr">
        <is>
          <t>End-to-End</t>
        </is>
      </c>
      <c r="C47" s="11" t="inlineStr">
        <is>
          <t>E2E-18 · Storefront chrome and search (shop experience)</t>
        </is>
      </c>
      <c r="D47" s="11" t="inlineStr">
        <is>
          <t>Header</t>
        </is>
      </c>
      <c r="E47" s="11" t="inlineStr">
        <is>
          <t>Desktop header icons and menu</t>
        </is>
      </c>
      <c r="F47" s="11" t="inlineStr">
        <is>
          <t>The desktop header has the menu, search and icons and never overflows.</t>
        </is>
      </c>
      <c r="G47" s="11" t="inlineStr">
        <is>
          <t>Store selling; wishlist on</t>
        </is>
      </c>
      <c r="H47" s="11" t="inlineStr">
        <is>
          <t>Widths 1280 and 1024</t>
        </is>
      </c>
      <c r="I47" s="11" t="inlineStr">
        <is>
          <t>1. Open http://home-orbit.localhost:3000 at 1280 px
2. Read the header
3. Narrow to 1024 px
4. Verify the expected result.</t>
        </is>
      </c>
      <c r="J47" s="11" t="inlineStr">
        <is>
          <t>Menu items on one line, search box, account, wishlist with count and cart with count; at 1024 nothing overlaps (the default header turns the search into an icon; Home Orbit keeps its search bar on its own row).</t>
        </is>
      </c>
      <c r="K47" s="11" t="inlineStr">
        <is>
          <t>At 1280 px: menu on one line, 547 px search bar, account, wishlist and cart with count; at 1024 px the menu still fits one line, the search bar (367 px) sits on its own row, no overlaps, no sideways scroll.</t>
        </is>
      </c>
      <c r="L47" s="11" t="inlineStr">
        <is>
          <t>Pass</t>
        </is>
      </c>
      <c r="M47" s="11" t="inlineStr">
        <is>
          <t>High</t>
        </is>
      </c>
      <c r="N47" s="11" t="inlineStr">
        <is>
          <t>UI/UX</t>
        </is>
      </c>
      <c r="O47" s="11" t="inlineStr">
        <is>
          <t>Claude (in-app browser)</t>
        </is>
      </c>
      <c r="P47" s="11" t="inlineStr">
        <is>
          <t>2026-10-12</t>
        </is>
      </c>
      <c r="Q47" s="11" t="inlineStr"/>
      <c r="R47" s="11" t="inlineStr">
        <is>
          <t>Expected result updated for Home Orbit's header, whose search has its own row.</t>
        </is>
      </c>
      <c r="S47" s="11" t="inlineStr">
        <is>
          <t>Shopper</t>
        </is>
      </c>
      <c r="T47" s="11" t="inlineStr">
        <is>
          <t>Yes</t>
        </is>
      </c>
      <c r="U47" s="11" t="inlineStr">
        <is>
          <t>docs/qa/regression/e2e/E2E-18-storefront.md</t>
        </is>
      </c>
    </row>
    <row r="48">
      <c r="A48" s="11" t="inlineStr">
        <is>
          <t>E2E-18-002</t>
        </is>
      </c>
      <c r="B48" s="11" t="inlineStr">
        <is>
          <t>End-to-End</t>
        </is>
      </c>
      <c r="C48" s="11" t="inlineStr">
        <is>
          <t>E2E-18 · Storefront chrome and search (shop experience)</t>
        </is>
      </c>
      <c r="D48" s="11" t="inlineStr">
        <is>
          <t>Phone</t>
        </is>
      </c>
      <c r="E48" s="11" t="inlineStr">
        <is>
          <t>Bottom navigation</t>
        </is>
      </c>
      <c r="F48" s="11" t="inlineStr">
        <is>
          <t>The phone bottom bar shows the right tabs and hides on pages with their own bar.</t>
        </is>
      </c>
      <c r="G48" s="11" t="inlineStr">
        <is>
          <t>Phone size (375 px)</t>
        </is>
      </c>
      <c r="H48" s="11" t="inlineStr">
        <is>
          <t>—</t>
        </is>
      </c>
      <c r="I48" s="11" t="inlineStr">
        <is>
          <t>1. Read the bottom bar on the home page
2. Tap Shop
3. Open a product, the cart and checkout
4. Verify the expected result.</t>
        </is>
      </c>
      <c r="J48" s="11" t="inlineStr">
        <is>
          <t>Home, Shop, Dealers, Account, Cart; Shop opens /c with all categories; on product, cart and checkout the page's sticky button replaces the bar.</t>
        </is>
      </c>
      <c r="K48" s="11" t="inlineStr">
        <is>
          <t>Phone: bottom bar Home, Shop (/c), Dealers, Account, Cart with count; on a product page the sticky "₹849 Add to cart" bar replaces it.</t>
        </is>
      </c>
      <c r="L48" s="11" t="inlineStr">
        <is>
          <t>Pass</t>
        </is>
      </c>
      <c r="M48" s="11" t="inlineStr">
        <is>
          <t>High</t>
        </is>
      </c>
      <c r="N48" s="11" t="inlineStr">
        <is>
          <t>UI/UX</t>
        </is>
      </c>
      <c r="O48" s="11" t="inlineStr">
        <is>
          <t>Claude (in-app browser)</t>
        </is>
      </c>
      <c r="P48" s="11" t="inlineStr">
        <is>
          <t>2026-10-12</t>
        </is>
      </c>
      <c r="Q48" s="11" t="inlineStr"/>
      <c r="R48" s="11" t="inlineStr"/>
      <c r="S48" s="11" t="inlineStr">
        <is>
          <t>Shopper</t>
        </is>
      </c>
      <c r="T48" s="11" t="inlineStr">
        <is>
          <t>Yes</t>
        </is>
      </c>
      <c r="U48" s="11" t="inlineStr">
        <is>
          <t>docs/qa/regression/e2e/E2E-18-storefront.md</t>
        </is>
      </c>
    </row>
    <row r="49">
      <c r="A49" s="11" t="inlineStr">
        <is>
          <t>E2E-18-003</t>
        </is>
      </c>
      <c r="B49" s="11" t="inlineStr">
        <is>
          <t>End-to-End</t>
        </is>
      </c>
      <c r="C49" s="11" t="inlineStr">
        <is>
          <t>E2E-18 · Storefront chrome and search (shop experience)</t>
        </is>
      </c>
      <c r="D49" s="11" t="inlineStr">
        <is>
          <t>Footer</t>
        </is>
      </c>
      <c r="E49" s="11" t="inlineStr">
        <is>
          <t>Footer columns and legal line</t>
        </is>
      </c>
      <c r="F49" s="11" t="inlineStr">
        <is>
          <t>The footer matches the wireframe and the store's features.</t>
        </is>
      </c>
      <c r="G49" s="11" t="inlineStr">
        <is>
          <t>Store selling; contact and grievance officer saved (VC-03)</t>
        </is>
      </c>
      <c r="H49" s="11" t="inlineStr">
        <is>
          <t>—</t>
        </is>
      </c>
      <c r="I49" s="11" t="inlineStr">
        <is>
          <t>1. Scroll to the footer
2. Verify the expected result.</t>
        </is>
      </c>
      <c r="J49" s="11" t="inlineStr">
        <is>
          <t>Logo, contact, Get our offers first; Shop with Offers; Help with Track order, published policies, Contact us; Company with Find a dealer and Downloads; legal name, GSTIN, grievance officer and ways to pay.</t>
        </is>
      </c>
      <c r="K49" s="11" t="inlineStr">
        <is>
          <t>Footer: Get our offers first; Shop (with Offers); Help (Track order, Privacy policy, Contact us); Company (About us, Contact us, Find a dealer, Downloads); legal line with GSTIN and COD.</t>
        </is>
      </c>
      <c r="L49" s="11" t="inlineStr">
        <is>
          <t>Pass</t>
        </is>
      </c>
      <c r="M49" s="11" t="inlineStr">
        <is>
          <t>High</t>
        </is>
      </c>
      <c r="N49" s="11" t="inlineStr">
        <is>
          <t>UI/UX</t>
        </is>
      </c>
      <c r="O49" s="11" t="inlineStr">
        <is>
          <t>Claude (in-app browser)</t>
        </is>
      </c>
      <c r="P49" s="11" t="inlineStr">
        <is>
          <t>2026-10-12</t>
        </is>
      </c>
      <c r="Q49" s="11" t="inlineStr"/>
      <c r="R49" s="11" t="inlineStr">
        <is>
          <t>QA data has placeholder legal name and no grievance officer, so that line was not shown.</t>
        </is>
      </c>
      <c r="S49" s="11" t="inlineStr">
        <is>
          <t>Shopper</t>
        </is>
      </c>
      <c r="T49" s="11" t="inlineStr">
        <is>
          <t>No</t>
        </is>
      </c>
      <c r="U49" s="11" t="inlineStr">
        <is>
          <t>docs/qa/regression/e2e/E2E-18-storefront.md</t>
        </is>
      </c>
    </row>
    <row r="50">
      <c r="A50" s="11" t="inlineStr">
        <is>
          <t>E2E-18-004</t>
        </is>
      </c>
      <c r="B50" s="11" t="inlineStr">
        <is>
          <t>End-to-End</t>
        </is>
      </c>
      <c r="C50" s="11" t="inlineStr">
        <is>
          <t>E2E-18 · Storefront chrome and search (shop experience)</t>
        </is>
      </c>
      <c r="D50" s="11" t="inlineStr">
        <is>
          <t>Search</t>
        </is>
      </c>
      <c r="E50" s="11" t="inlineStr">
        <is>
          <t>Instant search with typos and recent searches</t>
        </is>
      </c>
      <c r="F50" s="11" t="inlineStr">
        <is>
          <t>Suggestions rank model numbers first and forgive typos.</t>
        </is>
      </c>
      <c r="G50" s="11" t="inlineStr">
        <is>
          <t>Store with Home Orbit's catalogue</t>
        </is>
      </c>
      <c r="H50" s="11" t="inlineStr">
        <is>
          <t>"610"; "hogdh610"; "glas handel"</t>
        </is>
      </c>
      <c r="I50" s="11" t="inlineStr">
        <is>
          <t>1. Type each in the header search
2. Use arrow keys and Enter
3. Clear the box and focus it
4. Verify the expected result.</t>
        </is>
      </c>
      <c r="J50" s="11" t="inlineStr">
        <is>
          <t>HOGDH-610 first for the first two; glass door handles for the typo; Enter opens the choice; Recent searches list earlier terms.</t>
        </is>
      </c>
      <c r="K50" s="11" t="inlineStr">
        <is>
          <t>"610" and "hogdh610" → HOGDH-610 first; "glas handel" → glass door handles; ArrowDown + Enter opened HOGDH-610; clearing the box showed Recent searches "hogdh610".</t>
        </is>
      </c>
      <c r="L50" s="11" t="inlineStr">
        <is>
          <t>Pass</t>
        </is>
      </c>
      <c r="M50" s="11" t="inlineStr">
        <is>
          <t>High</t>
        </is>
      </c>
      <c r="N50" s="11" t="inlineStr">
        <is>
          <t>Functional</t>
        </is>
      </c>
      <c r="O50" s="11" t="inlineStr">
        <is>
          <t>Claude (in-app browser)</t>
        </is>
      </c>
      <c r="P50" s="11" t="inlineStr">
        <is>
          <t>2026-10-12</t>
        </is>
      </c>
      <c r="Q50" s="11" t="inlineStr"/>
      <c r="R50" s="11" t="inlineStr"/>
      <c r="S50" s="11" t="inlineStr">
        <is>
          <t>Shopper</t>
        </is>
      </c>
      <c r="T50" s="11" t="inlineStr">
        <is>
          <t>Yes</t>
        </is>
      </c>
      <c r="U50" s="11" t="inlineStr">
        <is>
          <t>docs/qa/regression/e2e/E2E-18-storefront.md</t>
        </is>
      </c>
    </row>
    <row r="51">
      <c r="A51" s="11" t="inlineStr">
        <is>
          <t>E2E-18-005</t>
        </is>
      </c>
      <c r="B51" s="11" t="inlineStr">
        <is>
          <t>End-to-End</t>
        </is>
      </c>
      <c r="C51" s="11" t="inlineStr">
        <is>
          <t>E2E-18 · Storefront chrome and search (shop experience)</t>
        </is>
      </c>
      <c r="D51" s="11" t="inlineStr">
        <is>
          <t>Listing</t>
        </is>
      </c>
      <c r="E51" s="11" t="inlineStr">
        <is>
          <t>Filter sheet on phones</t>
        </is>
      </c>
      <c r="F51" s="11" t="inlineStr">
        <is>
          <t>The phone filter sheet works and reports the count.</t>
        </is>
      </c>
      <c r="G51" s="11" t="inlineStr">
        <is>
          <t>Phone size; store selling</t>
        </is>
      </c>
      <c r="H51" s="11" t="inlineStr">
        <is>
          <t>Price 500–1000</t>
        </is>
      </c>
      <c r="I51" s="11" t="inlineStr">
        <is>
          <t>1. Open a category
2. Tap Filter
3. Enter the price and Go
4. Tap Show N products
5. Verify the expected result.</t>
        </is>
      </c>
      <c r="J51" s="11" t="inlineStr">
        <is>
          <t>A sheet over a dimmed page with Close and Clear; the count matches the list; Filter (1) after closing.</t>
        </is>
      </c>
      <c r="K51" s="11" t="inlineStr">
        <is>
          <t>Phone: Filter opened a sheet with Close and Clear; max ₹1,000 + Go → "Show 32 products" and 32 in the list (all ≤ ₹1,000); Filter (1) after closing.</t>
        </is>
      </c>
      <c r="L51" s="11" t="inlineStr">
        <is>
          <t>Pass</t>
        </is>
      </c>
      <c r="M51" s="11" t="inlineStr">
        <is>
          <t>Medium</t>
        </is>
      </c>
      <c r="N51" s="11" t="inlineStr">
        <is>
          <t>UI/UX</t>
        </is>
      </c>
      <c r="O51" s="11" t="inlineStr">
        <is>
          <t>Claude (in-app browser)</t>
        </is>
      </c>
      <c r="P51" s="11" t="inlineStr">
        <is>
          <t>2026-10-12</t>
        </is>
      </c>
      <c r="Q51" s="11" t="inlineStr"/>
      <c r="R51" s="11" t="inlineStr"/>
      <c r="S51" s="11" t="inlineStr">
        <is>
          <t>Shopper</t>
        </is>
      </c>
      <c r="T51" s="11" t="inlineStr">
        <is>
          <t>No</t>
        </is>
      </c>
      <c r="U51" s="11" t="inlineStr">
        <is>
          <t>docs/qa/regression/e2e/E2E-18-storefront.md</t>
        </is>
      </c>
    </row>
    <row r="52">
      <c r="A52" s="11" t="inlineStr">
        <is>
          <t>E2E-18-006</t>
        </is>
      </c>
      <c r="B52" s="11" t="inlineStr">
        <is>
          <t>End-to-End</t>
        </is>
      </c>
      <c r="C52" s="11" t="inlineStr">
        <is>
          <t>E2E-18 · Storefront chrome and search (shop experience)</t>
        </is>
      </c>
      <c r="D52" s="11" t="inlineStr">
        <is>
          <t>Cart</t>
        </is>
      </c>
      <c r="E52" s="11" t="inlineStr">
        <is>
          <t>Move to wishlist and Complete the look</t>
        </is>
      </c>
      <c r="F52" s="11" t="inlineStr">
        <is>
          <t>Cart extras work.</t>
        </is>
      </c>
      <c r="G52" s="11" t="inlineStr">
        <is>
          <t>Two items in the cart; wishlist on</t>
        </is>
      </c>
      <c r="H52" s="11" t="inlineStr">
        <is>
          <t>—</t>
        </is>
      </c>
      <c r="I52" s="11" t="inlineStr">
        <is>
          <t>1. Press Move to wishlist on one line
2. Read Complete the look
3. Add one suggestion
4. Verify the expected result.</t>
        </is>
      </c>
      <c r="J52" s="11" t="inlineStr">
        <is>
          <t>The line leaves the cart and the heart count goes up; suggestions come from the same categories and Add to cart adds one.</t>
        </is>
      </c>
      <c r="K52" s="11" t="inlineStr">
        <is>
          <t>Move to wishlist took HOPH-504 out of the cart and the wishlist badge went 0 → 1; Complete the look showed glass door handles; Add to cart on HOGDH-612 made 2 items, ₹1,898.</t>
        </is>
      </c>
      <c r="L52" s="11" t="inlineStr">
        <is>
          <t>Pass</t>
        </is>
      </c>
      <c r="M52" s="11" t="inlineStr">
        <is>
          <t>Medium</t>
        </is>
      </c>
      <c r="N52" s="11" t="inlineStr">
        <is>
          <t>Functional</t>
        </is>
      </c>
      <c r="O52" s="11" t="inlineStr">
        <is>
          <t>Claude (in-app browser)</t>
        </is>
      </c>
      <c r="P52" s="11" t="inlineStr">
        <is>
          <t>2026-10-12</t>
        </is>
      </c>
      <c r="Q52" s="11" t="inlineStr"/>
      <c r="R52" s="11" t="inlineStr"/>
      <c r="S52" s="11" t="inlineStr">
        <is>
          <t>Shopper</t>
        </is>
      </c>
      <c r="T52" s="11" t="inlineStr">
        <is>
          <t>No</t>
        </is>
      </c>
      <c r="U52" s="11" t="inlineStr">
        <is>
          <t>docs/qa/regression/e2e/E2E-18-storefront.md</t>
        </is>
      </c>
    </row>
    <row r="53">
      <c r="A53" s="11" t="inlineStr">
        <is>
          <t>E2E-18-007</t>
        </is>
      </c>
      <c r="B53" s="11" t="inlineStr">
        <is>
          <t>End-to-End</t>
        </is>
      </c>
      <c r="C53" s="11" t="inlineStr">
        <is>
          <t>E2E-18 · Storefront chrome and search (shop experience)</t>
        </is>
      </c>
      <c r="D53" s="11" t="inlineStr">
        <is>
          <t>Motion</t>
        </is>
      </c>
      <c r="E53" s="11" t="inlineStr">
        <is>
          <t>Light animations that respect reduced motion</t>
        </is>
      </c>
      <c r="F53" s="11" t="inlineStr">
        <is>
          <t>Sections, hero words, menus, quick add and counts move lightly, and stay still for visitors who reduce motion.</t>
        </is>
      </c>
      <c r="G53" s="11" t="inlineStr">
        <is>
          <t>Store selling; a browser with scroll-driven animations (Chrome, Edge)</t>
        </is>
      </c>
      <c r="H53" s="11" t="inlineStr">
        <is>
          <t>Windows: Settings → Accessibility → Visual effects → Animation effects off</t>
        </is>
      </c>
      <c r="I53" s="11" t="inlineStr">
        <is>
          <t>1. Scroll the home page
2. Swipe the hero
3. Open a menu, Quick add, a heart and Add to cart
4. Turn animations off in the system and reload
5. Owner: Store settings → Branding → untick Animations on the store, Save; reload the store
6. Verify the expected result.</t>
        </is>
      </c>
      <c r="J53" s="11" t="inlineStr">
        <is>
          <t>Sections rise in as they arrive, hero words follow their slide, menus and the quick add sheet ease in, the cart and wishlist counts bump; with system animations off everything shows at once and nothing moves (the benefits line stops); with the store switch off the same motion stops for every shopper.</t>
        </is>
      </c>
      <c r="K53" s="11" t="inlineStr">
        <is>
          <t>Home: sections below the first rise in while scrolling, hero words follow a half-swiped slide (50%); menu dropdown and phone menu ease in; quick add sheet slides up with a fading backdrop; cart and heart bump. Checked with the browser's animation timings. Store switch: with animations off in the store's settings the page carries data-motion="off" and no scroll animations run; the page renders the same. Lighthouse mobile on the production build: accessibility, best practices and SEO 100 on home, listing and product; layout shift 0.</t>
        </is>
      </c>
      <c r="L53" s="11" t="inlineStr">
        <is>
          <t>Pass</t>
        </is>
      </c>
      <c r="M53" s="11" t="inlineStr">
        <is>
          <t>Medium</t>
        </is>
      </c>
      <c r="N53" s="11" t="inlineStr">
        <is>
          <t>UI/UX</t>
        </is>
      </c>
      <c r="O53" s="11" t="inlineStr">
        <is>
          <t>Claude (in-app browser)</t>
        </is>
      </c>
      <c r="P53" s="11" t="inlineStr">
        <is>
          <t>2026-10-12</t>
        </is>
      </c>
      <c r="Q53" s="11" t="inlineStr"/>
      <c r="R53" s="11" t="inlineStr">
        <is>
          <t>Reduced-motion run not done in the in-app browser (it cannot switch the OS setting); the switch was set in the database, not by saving the CMS form (no CMS sign-in in this run).</t>
        </is>
      </c>
      <c r="S53" s="11" t="inlineStr">
        <is>
          <t>Shopper, Store owner</t>
        </is>
      </c>
      <c r="T53" s="11" t="inlineStr">
        <is>
          <t>No</t>
        </is>
      </c>
      <c r="U53" s="11" t="inlineStr">
        <is>
          <t>docs/qa/regression/e2e/E2E-18-storefront.md</t>
        </is>
      </c>
    </row>
  </sheetData>
  <autoFilter ref="A1:U53"/>
  <conditionalFormatting sqref="L2:L253">
    <cfRule type="cellIs" priority="1" operator="equal" dxfId="1">
      <formula>"Pass"</formula>
    </cfRule>
    <cfRule type="cellIs" priority="2" operator="equal" dxfId="0">
      <formula>"Fail"</formula>
    </cfRule>
    <cfRule type="cellIs" priority="3" operator="equal" dxfId="2">
      <formula>"Blocked"</formula>
    </cfRule>
    <cfRule type="cellIs" priority="4" operator="equal" dxfId="3">
      <formula>"Not Run"</formula>
    </cfRule>
    <cfRule type="cellIs" priority="5" operator="equal" dxfId="4">
      <formula>"Not Applicable"</formula>
    </cfRule>
  </conditionalFormatting>
  <conditionalFormatting sqref="M2:M253">
    <cfRule type="cellIs" priority="6" operator="equal" dxfId="5">
      <formula>"Critical"</formula>
    </cfRule>
  </conditionalFormatting>
  <dataValidations count="5">
    <dataValidation sqref="L2:L253" showDropDown="0" showInputMessage="0" showErrorMessage="0" allowBlank="1" errorTitle="Invalid value" error="Pick a value from the list" type="list">
      <formula1>"Not Run,Pass,Fail,Blocked,Not Applicable"</formula1>
    </dataValidation>
    <dataValidation sqref="M2:M253" showDropDown="0" showInputMessage="0" showErrorMessage="0" allowBlank="1" errorTitle="Invalid value" error="Pick a value from the list" type="list">
      <formula1>"Critical,High,Medium,Low"</formula1>
    </dataValidation>
    <dataValidation sqref="N2:N253" showDropDown="0" showInputMessage="0" showErrorMessage="0" allowBlank="1" errorTitle="Invalid value" error="Pick a value from the list" type="list">
      <formula1>"Functional,Regression,Negative,Validation,Boundary,Integration,UI/UX,Security/Permissions,Data persistence,Accessibility"</formula1>
    </dataValidation>
    <dataValidation sqref="B2:B253" showDropDown="0" showInputMessage="0" showErrorMessage="0" allowBlank="1" errorTitle="Invalid value" error="Pick a value from the list" type="list">
      <formula1>"Super Admin,Vendor CMS,End-to-End"</formula1>
    </dataValidation>
    <dataValidation sqref="T2:T253"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26" customWidth="1" min="4" max="4"/>
    <col width="44" customWidth="1" min="5" max="5"/>
    <col width="11" customWidth="1" min="6" max="6"/>
    <col width="50" customWidth="1" min="7" max="7"/>
    <col width="40" customWidth="1" min="8" max="8"/>
    <col width="40" customWidth="1" min="9" max="9"/>
    <col width="13" customWidth="1" min="10" max="10"/>
    <col width="16" customWidth="1" min="11" max="11"/>
    <col width="12" customWidth="1" min="12" max="12"/>
    <col width="34" customWidth="1" min="13" max="13"/>
  </cols>
  <sheetData>
    <row r="1" ht="32" customHeight="1">
      <c r="A1" s="10" t="inlineStr">
        <is>
          <t>Defect ID</t>
        </is>
      </c>
      <c r="B1" s="10" t="inlineStr">
        <is>
          <t>Linked Test Case</t>
        </is>
      </c>
      <c r="C1" s="10" t="inlineStr">
        <is>
          <t>Portal</t>
        </is>
      </c>
      <c r="D1" s="10" t="inlineStr">
        <is>
          <t>Module</t>
        </is>
      </c>
      <c r="E1" s="10" t="inlineStr">
        <is>
          <t>Description</t>
        </is>
      </c>
      <c r="F1" s="10" t="inlineStr">
        <is>
          <t>Severity</t>
        </is>
      </c>
      <c r="G1" s="10" t="inlineStr">
        <is>
          <t>Steps to Reproduce</t>
        </is>
      </c>
      <c r="H1" s="10" t="inlineStr">
        <is>
          <t>Expected Result</t>
        </is>
      </c>
      <c r="I1" s="10" t="inlineStr">
        <is>
          <t>Actual Result</t>
        </is>
      </c>
      <c r="J1" s="10" t="inlineStr">
        <is>
          <t>Status</t>
        </is>
      </c>
      <c r="K1" s="10" t="inlineStr">
        <is>
          <t>Reported By</t>
        </is>
      </c>
      <c r="L1" s="10" t="inlineStr">
        <is>
          <t>Date</t>
        </is>
      </c>
      <c r="M1" s="10" t="inlineStr">
        <is>
          <t>Remarks</t>
        </is>
      </c>
    </row>
    <row r="2">
      <c r="A2" s="11" t="inlineStr">
        <is>
          <t>DEF-001</t>
        </is>
      </c>
      <c r="B2" s="11" t="inlineStr">
        <is>
          <t>SA-03-001</t>
        </is>
      </c>
      <c r="C2" s="11" t="inlineStr">
        <is>
          <t>Super Admin</t>
        </is>
      </c>
      <c r="D2" s="11" t="inlineStr">
        <is>
          <t>SA-01 · Sign in and two-step verification</t>
        </is>
      </c>
      <c r="E2" s="11" t="inlineStr">
        <is>
          <t>An admin link opened from outside the admin (email, chat, browser extension) bounced a signed-in person to the sign-in page, which then sent them to the dashboard instead of the page they asked for.</t>
        </is>
      </c>
      <c r="F2" s="11" t="inlineStr">
        <is>
          <t>High</t>
        </is>
      </c>
      <c r="G2" s="11" t="inlineStr">
        <is>
          <t>1. Sign in as super admin. 2. Open http://localhost:3000/admin/collections/tenants from outside the admin (a link in another site or the extension's navigate). 3. Watch where you land.</t>
        </is>
      </c>
      <c r="H2" s="11" t="inlineStr">
        <is>
          <t>All vendors opens (signing in first only when actually signed out).</t>
        </is>
      </c>
      <c r="I2" s="11" t="inlineStr">
        <is>
          <t>Payload ignores the session cookie on cross-site navigations (CSRF rule), redirects to /admin/login?redirect=…; our sign-in page saw the person was signed in and redirected to /admin, dropping the redirect.</t>
        </is>
      </c>
      <c r="J2" s="11" t="inlineStr">
        <is>
          <t>Closed</t>
        </is>
      </c>
      <c r="K2" s="11" t="inlineStr">
        <is>
          <t>Claude</t>
        </is>
      </c>
      <c r="L2" s="11" t="inlineStr">
        <is>
          <t>2026-10-10</t>
        </is>
      </c>
      <c r="M2" s="11" t="inlineStr">
        <is>
          <t>Fixed: SignInView now redirects a signed-in visitor to the requested /admin path (safeRedirect, unit tested; outside paths and the sign-in page fall back to the dashboard). Retested in Chrome: lands on the vendor page.</t>
        </is>
      </c>
    </row>
    <row r="3">
      <c r="A3" s="11" t="inlineStr">
        <is>
          <t>DEF-002</t>
        </is>
      </c>
      <c r="B3" s="11" t="inlineStr">
        <is>
          <t>SA-05-005</t>
        </is>
      </c>
      <c r="C3" s="11" t="inlineStr">
        <is>
          <t>Super Admin</t>
        </is>
      </c>
      <c r="D3" s="11" t="inlineStr">
        <is>
          <t>SA-05 · Vendor overview and store status</t>
        </is>
      </c>
      <c r="E3" s="11" t="inlineStr">
        <is>
          <t>Plan usage always showed "Orders this month 0": nothing updated the tenant's ordersThisMonth counter, so the meter and the 90% limit warning never moved.</t>
        </is>
      </c>
      <c r="F3" s="11" t="inlineStr">
        <is>
          <t>Medium</t>
        </is>
      </c>
      <c r="G3" s="11" t="inlineStr">
        <is>
          <t>1. Have orders this month for Home Orbit (pnpm demo:orders home-orbit or a storefront order). 2. Open All vendors → Home Orbit → Plan usage.</t>
        </is>
      </c>
      <c r="H3" s="11" t="inlineStr">
        <is>
          <t>Orders this month counts the orders placed this month.</t>
        </is>
      </c>
      <c r="I3" s="11" t="inlineStr">
        <is>
          <t>0 / 1,000 while the dashboard showed 8 sold orders and 18 placed this month.</t>
        </is>
      </c>
      <c r="J3" s="11" t="inlineStr">
        <is>
          <t>Closed</t>
        </is>
      </c>
      <c r="K3" s="11" t="inlineStr">
        <is>
          <t>Claude</t>
        </is>
      </c>
      <c r="L3" s="11" t="inlineStr">
        <is>
          <t>2026-10-10</t>
        </is>
      </c>
      <c r="M3" s="11" t="inlineStr">
        <is>
          <t>Fixed: counted from the orders (reports ordersThisMonth / ordersPlacedByStore) on the vendor overview, the store's plan card and the dashboard's limit warnings. Retested: 18 / 1,000. Open question for the product: the monthly order limit is shown but never enforced at checkout.</t>
        </is>
      </c>
    </row>
    <row r="4">
      <c r="A4" s="11" t="inlineStr">
        <is>
          <t>DEF-003</t>
        </is>
      </c>
      <c r="B4" s="11" t="inlineStr">
        <is>
          <t>E2E-04-008</t>
        </is>
      </c>
      <c r="C4" s="11" t="inlineStr">
        <is>
          <t>End-to-End</t>
        </is>
      </c>
      <c r="D4" s="11" t="inlineStr">
        <is>
          <t>E2E-04 · Order to cash</t>
        </is>
      </c>
      <c r="E4" s="11" t="inlineStr">
        <is>
          <t>After placing an order, the same browser could not add anything to the cart: the server rejected every Add to cart until the cart cookie expired (30 days).</t>
        </is>
      </c>
      <c r="F4" s="11" t="inlineStr">
        <is>
          <t>Critical</t>
        </is>
      </c>
      <c r="G4" s="11" t="inlineStr">
        <is>
          <t>1. Place an order on the store (E2E-04-001). 2. Open any category. 3. Press Add to cart on a card.</t>
        </is>
      </c>
      <c r="H4" s="11" t="inlineStr">
        <is>
          <t>The cart count goes to 1.</t>
        </is>
      </c>
      <c r="I4" s="11" t="inlineStr">
        <is>
          <t>Nothing was added; the dev log showed "ValidationError: The following field is invalid: tenant" from saveCart. The ordered cart kept the shopper's cart token, and tokens are unique per store, so the new cart could not be created.</t>
        </is>
      </c>
      <c r="J4" s="11" t="inlineStr">
        <is>
          <t>Closed</t>
        </is>
      </c>
      <c r="K4" s="11" t="inlineStr">
        <is>
          <t>Claude</t>
        </is>
      </c>
      <c r="L4" s="11" t="inlineStr">
        <is>
          <t>2026-10-12</t>
        </is>
      </c>
      <c r="M4" s="11" t="inlineStr">
        <is>
          <t>Fixed: markCartConverted gives the ordered cart a fresh token, and saveCart frees the token from any older ordered cart before creating a new one (integration test in tests/integration/offers.test.ts). Retested: Add to cart works after an order.</t>
        </is>
      </c>
    </row>
  </sheetData>
  <autoFilter ref="A1:M204"/>
  <conditionalFormatting sqref="J2:J204">
    <cfRule type="cellIs" priority="1" operator="equal" dxfId="0">
      <formula>"Open"</formula>
    </cfRule>
    <cfRule type="cellIs" priority="2" operator="equal" dxfId="1">
      <formula>"Closed"</formula>
    </cfRule>
  </conditionalFormatting>
  <dataValidations count="3">
    <dataValidation sqref="F2:F204" showDropDown="0" showInputMessage="0" showErrorMessage="0" allowBlank="1" errorTitle="Invalid value" error="Pick a value from the list" type="list">
      <formula1>"Critical,High,Medium,Low"</formula1>
    </dataValidation>
    <dataValidation sqref="J2:J204" showDropDown="0" showInputMessage="0" showErrorMessage="0" allowBlank="1" errorTitle="Invalid value" error="Pick a value from the list" type="list">
      <formula1>"Open,In progress,Fixed,Retest,Closed,Won't fix"</formula1>
    </dataValidation>
    <dataValidation sqref="C2:C204" showDropDown="0" showInputMessage="0" showErrorMessage="0" allowBlank="1" errorTitle="Invalid value" error="Pick a value from the list" type="list">
      <formula1>"Super Admin,Vendor CMS,End-to-End"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30" customWidth="1" min="3" max="3"/>
    <col width="60" customWidth="1" min="4" max="4"/>
  </cols>
  <sheetData>
    <row r="1" ht="32" customHeight="1">
      <c r="A1" s="10" t="inlineStr">
        <is>
          <t>Item</t>
        </is>
      </c>
      <c r="B1" s="10" t="inlineStr">
        <is>
          <t>Value</t>
        </is>
      </c>
      <c r="C1" s="10" t="inlineStr">
        <is>
          <t>Used by</t>
        </is>
      </c>
      <c r="D1" s="10" t="inlineStr">
        <is>
          <t>Notes</t>
        </is>
      </c>
    </row>
    <row r="2">
      <c r="A2" s="11" t="inlineStr">
        <is>
          <t>Environment</t>
        </is>
      </c>
      <c r="B2" s="11" t="inlineStr">
        <is>
          <t>Local QA: admin http://localhost:3000/admin; store http://home-orbit.localhost:3000; database tenantecom_qa (Docker Mongo replica set rs0)</t>
        </is>
      </c>
      <c r="C2" s="11" t="inlineStr">
        <is>
          <t>All</t>
        </is>
      </c>
      <c r="D2" s="11" t="inlineStr">
        <is>
          <t>Start the `app-qa` launch entry or `pnpm dev:fresh` with DATABASE_URI pointing at tenantecom_qa. Never run destructive cases on real data.</t>
        </is>
      </c>
    </row>
    <row r="3">
      <c r="A3" s="11" t="inlineStr">
        <is>
          <t>Browser</t>
        </is>
      </c>
      <c r="B3" s="11" t="inlineStr">
        <is>
          <t>Chrome (or Edge/Firefox); *.localhost opens without setup</t>
        </is>
      </c>
      <c r="C3" s="11" t="inlineStr">
        <is>
          <t>All</t>
        </is>
      </c>
      <c r="D3" s="11" t="inlineStr">
        <is>
          <t>Use a normal window for the super admin and private windows or other browsers for store staff and shoppers.</t>
        </is>
      </c>
    </row>
    <row r="4">
      <c r="A4" s="11" t="inlineStr">
        <is>
          <t>Super admin</t>
        </is>
      </c>
      <c r="B4" s="11" t="inlineStr">
        <is>
          <t>admin@tenantecom.local</t>
        </is>
      </c>
      <c r="C4" s="11" t="inlineStr">
        <is>
          <t>SA-*, E2E-*</t>
        </is>
      </c>
      <c r="D4" s="11" t="inlineStr">
        <is>
          <t>Password: SEED_SUPER_ADMIN_PASSWORD in .env (never in this sheet). Two-step required: the tester's own authenticator app.</t>
        </is>
      </c>
    </row>
    <row r="5">
      <c r="A5" s="11" t="inlineStr">
        <is>
          <t>Support teammate</t>
        </is>
      </c>
      <c r="B5" s="11" t="inlineStr">
        <is>
          <t>support.qa@tenantecom.local (invite in SA-14)</t>
        </is>
      </c>
      <c r="C5" s="11" t="inlineStr">
        <is>
          <t>SA-01, SA-15</t>
        </is>
      </c>
      <c r="D5" s="11" t="inlineStr">
        <is>
          <t>Sets two-step at first sign-in.</t>
        </is>
      </c>
    </row>
    <row r="6">
      <c r="A6" s="11" t="inlineStr">
        <is>
          <t>Home Orbit owner</t>
        </is>
      </c>
      <c r="B6" s="11" t="inlineStr">
        <is>
          <t>owner@homeorbit.example</t>
        </is>
      </c>
      <c r="C6" s="11" t="inlineStr">
        <is>
          <t>VC-*, E2E-*</t>
        </is>
      </c>
      <c r="D6" s="11" t="inlineStr">
        <is>
          <t>Set the password from the invite link (SA-11 Resend invite prints it in the `pnpm dev` terminal), e.g. HomeOrbit@2026.</t>
        </is>
      </c>
    </row>
    <row r="7">
      <c r="A7" s="11" t="inlineStr">
        <is>
          <t>Demo Sanitary owner</t>
        </is>
      </c>
      <c r="B7" s="11" t="inlineStr">
        <is>
          <t>owner@demo-sanitary.example</t>
        </is>
      </c>
      <c r="C7" s="11" t="inlineStr">
        <is>
          <t>E2E-11</t>
        </is>
      </c>
      <c r="D7" s="11" t="inlineStr">
        <is>
          <t>Invite link from the seed output or Resend invite.</t>
        </is>
      </c>
    </row>
    <row r="8">
      <c r="A8" s="11" t="inlineStr">
        <is>
          <t>Demo Clothing owner</t>
        </is>
      </c>
      <c r="B8" s="11" t="inlineStr">
        <is>
          <t>owner@demo-clothing.example</t>
        </is>
      </c>
      <c r="C8" s="11" t="inlineStr">
        <is>
          <t>SA-01 lockout</t>
        </is>
      </c>
      <c r="D8" s="11" t="inlineStr">
        <is>
          <t>Use for the lockout case so no real account is locked.</t>
        </is>
      </c>
    </row>
    <row r="9">
      <c r="A9" s="11" t="inlineStr">
        <is>
          <t>Store staff to invite</t>
        </is>
      </c>
      <c r="B9" s="11" t="inlineStr">
        <is>
          <t>editor@ (Catalog editor), orders@ (Order manager), content@ (Content editor), manager@ (Manager) @homeorbit.example</t>
        </is>
      </c>
      <c r="C9" s="11" t="inlineStr">
        <is>
          <t>VC-28, E2E-10</t>
        </is>
      </c>
      <c r="D9" s="11" t="inlineStr">
        <is>
          <t>Starter allows 3 staff: remove one before inviting the next, or switch the plan to Enterprise.</t>
        </is>
      </c>
    </row>
    <row r="10">
      <c r="A10" s="11" t="inlineStr">
        <is>
          <t>Shopper</t>
        </is>
      </c>
      <c r="B10" s="11" t="inlineStr">
        <is>
          <t>Rahul Kulkarni, rahul.k@example.com, mobile 98765 43210</t>
        </is>
      </c>
      <c r="C10" s="11" t="inlineStr">
        <is>
          <t>E2E-04, E2E-17</t>
        </is>
      </c>
      <c r="D10" s="11" t="inlineStr">
        <is>
          <t>Login codes print in the `pnpm dev` terminal ("Your code to log in to Home Orbit").</t>
        </is>
      </c>
    </row>
    <row r="11">
      <c r="A11" s="11" t="inlineStr">
        <is>
          <t>Delivery pincodes</t>
        </is>
      </c>
      <c r="B11" s="11" t="inlineStr">
        <is>
          <t>411045 (Pune, Maharashtra), 110001 (Delhi), 744101 (remote zone), 12345 (invalid)</t>
        </is>
      </c>
      <c r="C11" s="11" t="inlineStr">
        <is>
          <t>VC-24, E2E-04</t>
        </is>
      </c>
      <c r="D11" s="11" t="inlineStr"/>
    </row>
    <row r="12">
      <c r="A12" s="11" t="inlineStr">
        <is>
          <t>GSTINs</t>
        </is>
      </c>
      <c r="B12" s="11" t="inlineStr">
        <is>
          <t>Valid 29AABCT1234F1ZM, 27AAPFU0939F1ZV; invalid checksum 29AABCT1234F1ZN</t>
        </is>
      </c>
      <c r="C12" s="11" t="inlineStr">
        <is>
          <t>SA-04, SA-05</t>
        </is>
      </c>
      <c r="D12" s="11" t="inlineStr">
        <is>
          <t>Sample GSTINs from the GST portal documentation, not real businesses.</t>
        </is>
      </c>
    </row>
    <row r="13">
      <c r="A13" s="11" t="inlineStr">
        <is>
          <t>Products</t>
        </is>
      </c>
      <c r="B13" s="11" t="inlineStr">
        <is>
          <t>HOPH-504 Feather pull handle; HOGDH-610 Lotus glass door handle; HOAL-101 aldrop</t>
        </is>
      </c>
      <c r="C13" s="11" t="inlineStr">
        <is>
          <t>VC-04, E2E-03</t>
        </is>
      </c>
      <c r="D13" s="11" t="inlineStr">
        <is>
          <t>Home Orbit catalogue from `pnpm seed:home-orbit` (110 products).</t>
        </is>
      </c>
    </row>
    <row r="14">
      <c r="A14" s="11" t="inlineStr">
        <is>
          <t>Sample prices and COD</t>
        </is>
      </c>
      <c r="B14" s="11" t="inlineStr">
        <is>
          <t>`pnpm demo:selling home-orbit`</t>
        </is>
      </c>
      <c r="C14" s="11" t="inlineStr">
        <is>
          <t>Selling cases</t>
        </is>
      </c>
      <c r="D14" s="11" t="inlineStr">
        <is>
          <t>Local only: puts sample prices, stock, COD (₹49) and two zones on the store.</t>
        </is>
      </c>
    </row>
    <row r="15">
      <c r="A15" s="11" t="inlineStr">
        <is>
          <t>Sample orders</t>
        </is>
      </c>
      <c r="B15" s="11" t="inlineStr">
        <is>
          <t>`pnpm demo:orders home-orbit`</t>
        </is>
      </c>
      <c r="C15" s="11" t="inlineStr">
        <is>
          <t>SA-02, VC-02</t>
        </is>
      </c>
      <c r="D15" s="11" t="inlineStr">
        <is>
          <t>24 COD orders over 14 days for the dashboards.</t>
        </is>
      </c>
    </row>
    <row r="16">
      <c r="A16" s="11" t="inlineStr">
        <is>
          <t>Razorpay test keys</t>
        </is>
      </c>
      <c r="B16" s="11" t="inlineStr">
        <is>
          <t>rzp_test_… (your own test keys, optional)</t>
        </is>
      </c>
      <c r="C16" s="11" t="inlineStr">
        <is>
          <t>VC-25, E2E-09</t>
        </is>
      </c>
      <c r="D16" s="11" t="inlineStr">
        <is>
          <t>Made-up keys test the refusal path; never live keys.</t>
        </is>
      </c>
    </row>
    <row r="17">
      <c r="A17" s="11" t="inlineStr">
        <is>
          <t>Coupons and schemes</t>
        </is>
      </c>
      <c r="B17" s="11" t="inlineStr">
        <is>
          <t>HOME200 (₹200 off above ₹1,000); Diwali 2026 (10% off, max ₹1,500)</t>
        </is>
      </c>
      <c r="C17" s="11" t="inlineStr">
        <is>
          <t>VC-14, VC-15, E2E-05</t>
        </is>
      </c>
      <c r="D17" s="11" t="inlineStr">
        <is>
          <t>Created during the cases.</t>
        </is>
      </c>
    </row>
    <row r="18">
      <c r="A18" s="11" t="inlineStr">
        <is>
          <t>Emails and WhatsApp</t>
        </is>
      </c>
      <c r="B18" s="11" t="inlineStr">
        <is>
          <t>Printed in the `pnpm dev` terminal as [dev-log email] / [dev-log whatsapp]</t>
        </is>
      </c>
      <c r="C18" s="11" t="inlineStr">
        <is>
          <t>Messaging cases</t>
        </is>
      </c>
      <c r="D18" s="11" t="inlineStr">
        <is>
          <t>Nothing is really sent locally.</t>
        </is>
      </c>
    </row>
    <row r="19">
      <c r="A19" s="11" t="inlineStr">
        <is>
          <t>Reset</t>
        </is>
      </c>
      <c r="B19" s="11" t="inlineStr">
        <is>
          <t>docker compose down -v; up -d mongo; pnpm seed; pnpm seed:home-orbit (with DATABASE_URI set to the QA database)</t>
        </is>
      </c>
      <c r="C19" s="11" t="inlineStr">
        <is>
          <t>After destructive runs</t>
        </is>
      </c>
      <c r="D19" s="11" t="inlineStr">
        <is>
          <t>Uploaded files stay in media/.</t>
        </is>
      </c>
    </row>
    <row r="20">
      <c r="A20" s="11" t="inlineStr">
        <is>
          <t>Run order</t>
        </is>
      </c>
      <c r="B20" s="11" t="inlineStr">
        <is>
          <t>SA-01 → SA-03 → SA-05/06 → VC-01 → VC-03 → VC-04…; selling cases after `pnpm demo:selling`; E2E after the modules they depend on</t>
        </is>
      </c>
      <c r="C20" s="11" t="inlineStr">
        <is>
          <t>All</t>
        </is>
      </c>
      <c r="D20" s="11" t="inlineStr">
        <is>
          <t>See docs/qa/coverage.md "Dependencies".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2026-10-13T04:27:16Z</dcterms:created>
  <dcterms:modified xsi:type="dcterms:W3CDTF">2026-10-13T04:27:17Z</dcterms:modified>
</cp:coreProperties>
</file>